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print 1 Board" sheetId="1" state="visible" r:id="rId1"/>
    <sheet xmlns:r="http://schemas.openxmlformats.org/officeDocument/2006/relationships" name="Future MIDI DAW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Reference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i val="1"/>
      <color rgb="FF1F2937"/>
      <sz val="11"/>
    </font>
    <font>
      <name val="Carlito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385723"/>
      </patternFill>
    </fill>
    <fill>
      <patternFill patternType="solid">
        <fgColor rgb="FFE2F0D9"/>
      </patternFill>
    </fill>
    <fill>
      <patternFill patternType="solid">
        <fgColor rgb="FF548235"/>
      </patternFill>
    </fill>
  </fills>
  <borders count="19">
    <border/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D9EAD3"/>
      </right>
      <bottom style="thin">
        <color rgb="FFD9EAD3"/>
      </bottom>
    </border>
    <border>
      <left style="thin">
        <color rgb="FFD9EAD3"/>
      </left>
      <right style="thin">
        <color rgb="FFD9EAD3"/>
      </right>
      <bottom style="thin">
        <color rgb="FFD9EAD3"/>
      </bottom>
    </border>
    <border>
      <left style="thin">
        <color rgb="FFD9EAD3"/>
      </left>
      <bottom style="thin">
        <color rgb="FFD9EAD3"/>
      </bottom>
    </border>
    <border>
      <right style="thin">
        <color rgb="FFD9EAD3"/>
      </right>
      <top style="thin">
        <color rgb="FFD9EAD3"/>
      </top>
      <bottom style="thin">
        <color rgb="FFD9EAD3"/>
      </bottom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</border>
    <border>
      <left style="thin">
        <color rgb="FFD9EAD3"/>
      </left>
      <top style="thin">
        <color rgb="FFD9EAD3"/>
      </top>
      <bottom style="thin">
        <color rgb="FFD9EAD3"/>
      </bottom>
    </border>
    <border>
      <right style="thin">
        <color rgb="FFD9EAD3"/>
      </right>
      <top style="thin">
        <color rgb="FFD9EAD3"/>
      </top>
    </border>
    <border>
      <left style="thin">
        <color rgb="FFD9EAD3"/>
      </left>
      <right style="thin">
        <color rgb="FFD9EAD3"/>
      </right>
      <top style="thin">
        <color rgb="FFD9EAD3"/>
      </top>
    </border>
    <border>
      <left style="thin">
        <color rgb="FFD9EAD3"/>
      </left>
      <top style="thin">
        <color rgb="FFD9EAD3"/>
      </top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1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1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0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wrapText="1"/>
    </xf>
    <xf numFmtId="0" fontId="3" fillId="7" borderId="10" applyAlignment="1" pivotButton="0" quotePrefix="0" xfId="0">
      <alignment wrapText="1"/>
    </xf>
    <xf numFmtId="0" fontId="3" fillId="7" borderId="11" applyAlignment="1" pivotButton="0" quotePrefix="0" xfId="0">
      <alignment wrapText="1"/>
    </xf>
    <xf numFmtId="0" fontId="3" fillId="7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1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1" fontId="0" fillId="0" borderId="17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3" fillId="4" borderId="5" pivotButton="0" quotePrefix="0" xfId="0"/>
    <xf numFmtId="0" fontId="0" fillId="0" borderId="5" pivotButton="0" quotePrefix="0" xfId="0"/>
    <xf numFmtId="1" fontId="0" fillId="0" borderId="5" applyAlignment="1" pivotButton="0" quotePrefix="0" xfId="0">
      <alignment vertical="top" wrapText="1"/>
    </xf>
    <xf numFmtId="1" fontId="0" fillId="0" borderId="8" applyAlignment="1" pivotButton="0" quotePrefix="0" xfId="0">
      <alignment vertical="top" wrapText="1"/>
    </xf>
    <xf numFmtId="1" fontId="0" fillId="0" borderId="14" applyAlignment="1" pivotButton="0" quotePrefix="0" xfId="0">
      <alignment vertical="top" wrapText="1"/>
    </xf>
    <xf numFmtId="1" fontId="0" fillId="0" borderId="17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print1Backlog" displayName="Sprint1Backlog" ref="A4:N22" headerRowCount="1" totalsRowCount="0" totalsRowShown="0">
  <autoFilter ref="A4:N22"/>
  <tableColumns count="14">
    <tableColumn id="1" name="ID"/>
    <tableColumn id="2" name="Type"/>
    <tableColumn id="3" name="Epic"/>
    <tableColumn id="4" name="Title"/>
    <tableColumn id="5" name="Status"/>
    <tableColumn id="6" name="Priority"/>
    <tableColumn id="7" name="Owner"/>
    <tableColumn id="8" name="Story Points"/>
    <tableColumn id="9" name="Sprint"/>
    <tableColumn id="10" name="Acceptance Criteria Summary"/>
    <tableColumn id="11" name="Red Phase Test"/>
    <tableColumn id="12" name="Green Phase Work"/>
    <tableColumn id="13" name="Dependencies"/>
    <tableColumn id="14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utureMidiDawBacklog" displayName="FutureMidiDawBacklog" ref="A4:N22" headerRowCount="1" totalsRowCount="0" totalsRowShown="0">
  <autoFilter ref="A4:N22"/>
  <tableColumns count="14">
    <tableColumn id="1" name="ID"/>
    <tableColumn id="2" name="Type"/>
    <tableColumn id="3" name="Epic"/>
    <tableColumn id="4" name="Title"/>
    <tableColumn id="5" name="Status"/>
    <tableColumn id="6" name="Priority"/>
    <tableColumn id="7" name="Owner"/>
    <tableColumn id="8" name="Story Points"/>
    <tableColumn id="9" name="Sprint"/>
    <tableColumn id="10" name="Acceptance Criteria Summary"/>
    <tableColumn id="11" name="Red Phase Test"/>
    <tableColumn id="12" name="Green Phase Work"/>
    <tableColumn id="13" name="Dependencies"/>
    <tableColumn id="14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30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34" customWidth="1" min="10" max="10"/>
    <col width="34" customWidth="1" min="11" max="11"/>
    <col width="34" customWidth="1" min="12" max="12"/>
    <col width="34" customWidth="1" min="13" max="13"/>
    <col width="34" customWidth="1" min="14" max="14"/>
  </cols>
  <sheetData>
    <row r="1">
      <c r="A1" s="3" t="inlineStr">
        <is>
          <t>python-d1-synth Sprint 1 Kanban Backlog</t>
        </is>
      </c>
    </row>
    <row r="2">
      <c r="A2" s="5" t="inlineStr">
        <is>
          <t>ChatOD: CHATOD-20260709-D1PY-MVP-001 | Date: 2026-07-09 | Status: Draft for customer review</t>
        </is>
      </c>
    </row>
    <row r="4" ht="15" customHeight="1">
      <c r="A4" s="12" t="inlineStr">
        <is>
          <t>ID</t>
        </is>
      </c>
      <c r="B4" s="13" t="inlineStr">
        <is>
          <t>Type</t>
        </is>
      </c>
      <c r="C4" s="13" t="inlineStr">
        <is>
          <t>Epic</t>
        </is>
      </c>
      <c r="D4" s="13" t="inlineStr">
        <is>
          <t>Title</t>
        </is>
      </c>
      <c r="E4" s="13" t="inlineStr">
        <is>
          <t>Status</t>
        </is>
      </c>
      <c r="F4" s="13" t="inlineStr">
        <is>
          <t>Priority</t>
        </is>
      </c>
      <c r="G4" s="13" t="inlineStr">
        <is>
          <t>Owner</t>
        </is>
      </c>
      <c r="H4" s="13" t="inlineStr">
        <is>
          <t>Story Points</t>
        </is>
      </c>
      <c r="I4" s="13" t="inlineStr">
        <is>
          <t>Sprint</t>
        </is>
      </c>
      <c r="J4" s="13" t="inlineStr">
        <is>
          <t>Acceptance Criteria Summary</t>
        </is>
      </c>
      <c r="K4" s="13" t="inlineStr">
        <is>
          <t>Red Phase Test</t>
        </is>
      </c>
      <c r="L4" s="13" t="inlineStr">
        <is>
          <t>Green Phase Work</t>
        </is>
      </c>
      <c r="M4" s="13" t="inlineStr">
        <is>
          <t>Dependencies</t>
        </is>
      </c>
      <c r="N4" s="14" t="inlineStr">
        <is>
          <t>Notes</t>
        </is>
      </c>
    </row>
    <row r="5" ht="15" customHeight="1">
      <c r="A5" s="15" t="inlineStr">
        <is>
          <t>US-001</t>
        </is>
      </c>
      <c r="B5" s="16" t="inlineStr">
        <is>
          <t>Story</t>
        </is>
      </c>
      <c r="C5" s="16" t="inlineStr">
        <is>
          <t>Projectbasis</t>
        </is>
      </c>
      <c r="D5" s="16" t="inlineStr">
        <is>
          <t>Project Skeleton</t>
        </is>
      </c>
      <c r="E5" s="16" t="inlineStr">
        <is>
          <t>Done</t>
        </is>
      </c>
      <c r="F5" s="16" t="inlineStr">
        <is>
          <t>Must</t>
        </is>
      </c>
      <c r="G5" s="16" t="inlineStr">
        <is>
          <t>Lead Developer</t>
        </is>
      </c>
      <c r="H5" s="45" t="n">
        <v>3</v>
      </c>
      <c r="I5" s="16" t="inlineStr">
        <is>
          <t>Sprint 1</t>
        </is>
      </c>
      <c r="J5" s="16" t="inlineStr">
        <is>
          <t>Project startbaar via CLI en VS Code debug.</t>
        </is>
      </c>
      <c r="K5" s="16" t="inlineStr">
        <is>
          <t>Test import/start faalt voor skeleton.</t>
        </is>
      </c>
      <c r="L5" s="16" t="inlineStr">
        <is>
          <t>Minimal package layout en entrypoint.</t>
        </is>
      </c>
      <c r="M5" s="16" t="inlineStr">
        <is>
          <t>None</t>
        </is>
      </c>
      <c r="N5" s="18" t="inlineStr">
        <is>
          <t>src package, pyproject en CLI skeleton gemaakt.</t>
        </is>
      </c>
    </row>
    <row r="6" ht="15" customHeight="1">
      <c r="A6" s="15" t="inlineStr">
        <is>
          <t>US-002</t>
        </is>
      </c>
      <c r="B6" s="16" t="inlineStr">
        <is>
          <t>Story</t>
        </is>
      </c>
      <c r="C6" s="16" t="inlineStr">
        <is>
          <t>Projectbasis</t>
        </is>
      </c>
      <c r="D6" s="16" t="inlineStr">
        <is>
          <t>Testframework</t>
        </is>
      </c>
      <c r="E6" s="16" t="inlineStr">
        <is>
          <t>Done</t>
        </is>
      </c>
      <c r="F6" s="16" t="inlineStr">
        <is>
          <t>Must</t>
        </is>
      </c>
      <c r="G6" s="16" t="inlineStr">
        <is>
          <t>QA Engineer</t>
        </is>
      </c>
      <c r="H6" s="45" t="n">
        <v>2</v>
      </c>
      <c r="I6" s="16" t="inlineStr">
        <is>
          <t>Sprint 1</t>
        </is>
      </c>
      <c r="J6" s="16" t="inlineStr">
        <is>
          <t>pytest start zonder importfouten.</t>
        </is>
      </c>
      <c r="K6" s="16" t="inlineStr">
        <is>
          <t>pytest faalt zonder tests/setup.</t>
        </is>
      </c>
      <c r="L6" s="16" t="inlineStr">
        <is>
          <t>pytest configuratie en eerste smoke test.</t>
        </is>
      </c>
      <c r="M6" s="16" t="inlineStr">
        <is>
          <t>US-001</t>
        </is>
      </c>
      <c r="N6" s="18" t="inlineStr">
        <is>
          <t>pytest draait groen: 9 passed.</t>
        </is>
      </c>
    </row>
    <row r="7" ht="15" customHeight="1">
      <c r="A7" s="15" t="inlineStr">
        <is>
          <t>US-003</t>
        </is>
      </c>
      <c r="B7" s="16" t="inlineStr">
        <is>
          <t>Story</t>
        </is>
      </c>
      <c r="C7" s="16" t="inlineStr">
        <is>
          <t>Projectbasis</t>
        </is>
      </c>
      <c r="D7" s="16" t="inlineStr">
        <is>
          <t>VS Code Debug Configuratie</t>
        </is>
      </c>
      <c r="E7" s="16" t="inlineStr">
        <is>
          <t>Done</t>
        </is>
      </c>
      <c r="F7" s="16" t="inlineStr">
        <is>
          <t>Must</t>
        </is>
      </c>
      <c r="G7" s="16" t="inlineStr">
        <is>
          <t>Release Engineer</t>
        </is>
      </c>
      <c r="H7" s="45" t="n">
        <v>2</v>
      </c>
      <c r="I7" s="16" t="inlineStr">
        <is>
          <t>Sprint 1</t>
        </is>
      </c>
      <c r="J7" s="16" t="inlineStr">
        <is>
          <t>CLI command debugbaar in VS Code.</t>
        </is>
      </c>
      <c r="K7" s="16" t="inlineStr">
        <is>
          <t>Debug config ontbreekt.</t>
        </is>
      </c>
      <c r="L7" s="16" t="inlineStr">
        <is>
          <t>launch.json met play/render voorbeelden.</t>
        </is>
      </c>
      <c r="M7" s="16" t="inlineStr">
        <is>
          <t>US-001</t>
        </is>
      </c>
      <c r="N7" s="18" t="inlineStr">
        <is>
          <t>launch.json en settings.json toegevoegd.</t>
        </is>
      </c>
    </row>
    <row r="8" ht="15" customHeight="1">
      <c r="A8" s="15" t="inlineStr">
        <is>
          <t>US-004</t>
        </is>
      </c>
      <c r="B8" s="16" t="inlineStr">
        <is>
          <t>Story</t>
        </is>
      </c>
      <c r="C8" s="16" t="inlineStr">
        <is>
          <t>Muzikale Basisdata</t>
        </is>
      </c>
      <c r="D8" s="16" t="inlineStr">
        <is>
          <t>Note Parsing</t>
        </is>
      </c>
      <c r="E8" s="16" t="inlineStr">
        <is>
          <t>Done</t>
        </is>
      </c>
      <c r="F8" s="16" t="inlineStr">
        <is>
          <t>Must</t>
        </is>
      </c>
      <c r="G8" s="16" t="inlineStr">
        <is>
          <t>Lead Developer</t>
        </is>
      </c>
      <c r="H8" s="45" t="n">
        <v>3</v>
      </c>
      <c r="I8" s="16" t="inlineStr">
        <is>
          <t>Sprint 1</t>
        </is>
      </c>
      <c r="J8" s="16" t="inlineStr">
        <is>
          <t>C3 en A4 worden correct naar frequentie gemapt.</t>
        </is>
      </c>
      <c r="K8" s="16" t="inlineStr">
        <is>
          <t>C3/A4 tests falen.</t>
        </is>
      </c>
      <c r="L8" s="16" t="inlineStr">
        <is>
          <t>NoteParser class met validatie.</t>
        </is>
      </c>
      <c r="M8" s="16" t="inlineStr">
        <is>
          <t>US-001, US-002</t>
        </is>
      </c>
      <c r="N8" s="18" t="inlineStr">
        <is>
          <t>pytest dekt A4 en C3 frequenties.</t>
        </is>
      </c>
    </row>
    <row r="9" ht="15" customHeight="1">
      <c r="A9" s="15" t="inlineStr">
        <is>
          <t>US-005</t>
        </is>
      </c>
      <c r="B9" s="16" t="inlineStr">
        <is>
          <t>Story</t>
        </is>
      </c>
      <c r="C9" s="16" t="inlineStr">
        <is>
          <t>Muzikale Basisdata</t>
        </is>
      </c>
      <c r="D9" s="16" t="inlineStr">
        <is>
          <t>Testsequence Parsing</t>
        </is>
      </c>
      <c r="E9" s="16" t="inlineStr">
        <is>
          <t>Done</t>
        </is>
      </c>
      <c r="F9" s="16" t="inlineStr">
        <is>
          <t>Must</t>
        </is>
      </c>
      <c r="G9" s="16" t="inlineStr">
        <is>
          <t>Lead Developer</t>
        </is>
      </c>
      <c r="H9" s="45" t="n">
        <v>3</v>
      </c>
      <c r="I9" s="16" t="inlineStr">
        <is>
          <t>Sprint 1</t>
        </is>
      </c>
      <c r="J9" s="16" t="inlineStr">
        <is>
          <t>ACGD wordt A3 C4 G3 D4.</t>
        </is>
      </c>
      <c r="K9" s="16" t="inlineStr">
        <is>
          <t>Sequence parser test faalt.</t>
        </is>
      </c>
      <c r="L9" s="16" t="inlineStr">
        <is>
          <t>NoteSequence parser met defaults.</t>
        </is>
      </c>
      <c r="M9" s="16" t="inlineStr">
        <is>
          <t>US-004</t>
        </is>
      </c>
      <c r="N9" s="18" t="inlineStr">
        <is>
          <t>pytest dekt ACGD default octaves.</t>
        </is>
      </c>
    </row>
    <row r="10" ht="15" customHeight="1">
      <c r="A10" s="15" t="inlineStr">
        <is>
          <t>US-006</t>
        </is>
      </c>
      <c r="B10" s="16" t="inlineStr">
        <is>
          <t>Story</t>
        </is>
      </c>
      <c r="C10" s="16" t="inlineStr">
        <is>
          <t>Muzikale Basisdata</t>
        </is>
      </c>
      <c r="D10" s="16" t="inlineStr">
        <is>
          <t>NoteEvent En NoteSequence Model</t>
        </is>
      </c>
      <c r="E10" s="16" t="inlineStr">
        <is>
          <t>Done</t>
        </is>
      </c>
      <c r="F10" s="16" t="inlineStr">
        <is>
          <t>Must</t>
        </is>
      </c>
      <c r="G10" s="16" t="inlineStr">
        <is>
          <t>DSP Engineer</t>
        </is>
      </c>
      <c r="H10" s="45" t="n">
        <v>3</v>
      </c>
      <c r="I10" s="16" t="inlineStr">
        <is>
          <t>Sprint 1</t>
        </is>
      </c>
      <c r="J10" s="16" t="inlineStr">
        <is>
          <t>Intern eventmodel ondersteunt note, duration, velocity, timing en traceerbare code-docstrings.</t>
        </is>
      </c>
      <c r="K10" s="16" t="inlineStr">
        <is>
          <t>Modelvalidatie en traceability tests falen.</t>
        </is>
      </c>
      <c r="L10" s="16" t="inlineStr">
        <is>
          <t>NoteEvent validatie, NoteSequence tuple-normalisatie en code traceability.</t>
        </is>
      </c>
      <c r="M10" s="16" t="inlineStr">
        <is>
          <t>US-004</t>
        </is>
      </c>
      <c r="N10" s="18" t="inlineStr">
        <is>
          <t>pytest groen: duration, velocity, timing, volgorde en traceability afgedekt.</t>
        </is>
      </c>
    </row>
    <row r="11" ht="15" customHeight="1">
      <c r="A11" s="15" t="inlineStr">
        <is>
          <t>US-007</t>
        </is>
      </c>
      <c r="B11" s="16" t="inlineStr">
        <is>
          <t>Story</t>
        </is>
      </c>
      <c r="C11" s="16" t="inlineStr">
        <is>
          <t>Oscillator En Audio Rendering</t>
        </is>
      </c>
      <c r="D11" s="16" t="inlineStr">
        <is>
          <t>Sine Oscillator</t>
        </is>
      </c>
      <c r="E11" s="16" t="inlineStr">
        <is>
          <t>Done</t>
        </is>
      </c>
      <c r="F11" s="16" t="inlineStr">
        <is>
          <t>Must</t>
        </is>
      </c>
      <c r="G11" s="16" t="inlineStr">
        <is>
          <t>DSP Engineer</t>
        </is>
      </c>
      <c r="H11" s="45" t="n">
        <v>5</v>
      </c>
      <c r="I11" s="16" t="inlineStr">
        <is>
          <t>Sprint 1</t>
        </is>
      </c>
      <c r="J11" s="16" t="inlineStr">
        <is>
          <t>Sine samples hebben juiste lengte en amplitude.</t>
        </is>
      </c>
      <c r="K11" s="16" t="inlineStr">
        <is>
          <t>Sample count/amplitude tests falen.</t>
        </is>
      </c>
      <c r="L11" s="16" t="inlineStr">
        <is>
          <t>SineOscillator class met numpy.</t>
        </is>
      </c>
      <c r="M11" s="16" t="inlineStr">
        <is>
          <t>US-006</t>
        </is>
      </c>
      <c r="N11" s="18" t="inlineStr">
        <is>
          <t>pytest dekt sample count en amplitude.</t>
        </is>
      </c>
    </row>
    <row r="12" ht="15" customHeight="1">
      <c r="A12" s="15" t="inlineStr">
        <is>
          <t>US-008</t>
        </is>
      </c>
      <c r="B12" s="16" t="inlineStr">
        <is>
          <t>Story</t>
        </is>
      </c>
      <c r="C12" s="16" t="inlineStr">
        <is>
          <t>Oscillator En Audio Rendering</t>
        </is>
      </c>
      <c r="D12" s="16" t="inlineStr">
        <is>
          <t>Saw Oscillator</t>
        </is>
      </c>
      <c r="E12" s="16" t="inlineStr">
        <is>
          <t>Done</t>
        </is>
      </c>
      <c r="F12" s="16" t="inlineStr">
        <is>
          <t>Should</t>
        </is>
      </c>
      <c r="G12" s="16" t="inlineStr">
        <is>
          <t>DSP Engineer</t>
        </is>
      </c>
      <c r="H12" s="45" t="n">
        <v>3</v>
      </c>
      <c r="I12" s="16" t="inlineStr">
        <is>
          <t>Sprint 1</t>
        </is>
      </c>
      <c r="J12" s="16" t="inlineStr">
        <is>
          <t>Saw samples hebben juiste lengte, amplitude en ramp-niveaus met traceerbare code-docstrings.</t>
        </is>
      </c>
      <c r="K12" s="16" t="inlineStr">
        <is>
          <t>Saw oscillator en traceability tests falen.</t>
        </is>
      </c>
      <c r="L12" s="16" t="inlineStr">
        <is>
          <t>Oscillator ondersteunt saw met meerdere ramp-niveaus binnen amplitude.</t>
        </is>
      </c>
      <c r="M12" s="16" t="inlineStr">
        <is>
          <t>US-007</t>
        </is>
      </c>
      <c r="N12" s="18" t="inlineStr">
        <is>
          <t>pytest groen: saw count, amplitude, ramp levels en traceability afgedekt.</t>
        </is>
      </c>
    </row>
    <row r="13" ht="15" customHeight="1">
      <c r="A13" s="15" t="inlineStr">
        <is>
          <t>US-009</t>
        </is>
      </c>
      <c r="B13" s="16" t="inlineStr">
        <is>
          <t>Story</t>
        </is>
      </c>
      <c r="C13" s="16" t="inlineStr">
        <is>
          <t>Oscillator En Audio Rendering</t>
        </is>
      </c>
      <c r="D13" s="16" t="inlineStr">
        <is>
          <t>Square Oscillator</t>
        </is>
      </c>
      <c r="E13" s="16" t="inlineStr">
        <is>
          <t>Done</t>
        </is>
      </c>
      <c r="F13" s="16" t="inlineStr">
        <is>
          <t>Should</t>
        </is>
      </c>
      <c r="G13" s="16" t="inlineStr">
        <is>
          <t>DSP Engineer</t>
        </is>
      </c>
      <c r="H13" s="45" t="n">
        <v>3</v>
      </c>
      <c r="I13" s="16" t="inlineStr">
        <is>
          <t>Sprint 1</t>
        </is>
      </c>
      <c r="J13" s="16" t="inlineStr">
        <is>
          <t>Square samples hebben juiste lengte, amplitude en discrete niveaus met traceerbare code-docstrings.</t>
        </is>
      </c>
      <c r="K13" s="16" t="inlineStr">
        <is>
          <t>Square oscillator en traceability tests falen.</t>
        </is>
      </c>
      <c r="L13" s="16" t="inlineStr">
        <is>
          <t>Oscillator ondersteunt square met discrete -amplitude/+amplitude output.</t>
        </is>
      </c>
      <c r="M13" s="16" t="inlineStr">
        <is>
          <t>US-007</t>
        </is>
      </c>
      <c r="N13" s="18" t="inlineStr">
        <is>
          <t>pytest groen: square count, amplitude, levels en traceability afgedekt.</t>
        </is>
      </c>
    </row>
    <row r="14" ht="15" customHeight="1">
      <c r="A14" s="15" t="inlineStr">
        <is>
          <t>US-010</t>
        </is>
      </c>
      <c r="B14" s="16" t="inlineStr">
        <is>
          <t>Story</t>
        </is>
      </c>
      <c r="C14" s="16" t="inlineStr">
        <is>
          <t>Oscillator En Audio Rendering</t>
        </is>
      </c>
      <c r="D14" s="16" t="inlineStr">
        <is>
          <t>WAV Export</t>
        </is>
      </c>
      <c r="E14" s="16" t="inlineStr">
        <is>
          <t>Done</t>
        </is>
      </c>
      <c r="F14" s="16" t="inlineStr">
        <is>
          <t>Must</t>
        </is>
      </c>
      <c r="G14" s="16" t="inlineStr">
        <is>
          <t>Lead Developer</t>
        </is>
      </c>
      <c r="H14" s="45" t="n">
        <v>5</v>
      </c>
      <c r="I14" s="16" t="inlineStr">
        <is>
          <t>Sprint 1</t>
        </is>
      </c>
      <c r="J14" s="16" t="inlineStr">
        <is>
          <t>Render command schrijft stereo WAV op 44100 Hz.</t>
        </is>
      </c>
      <c r="K14" s="16" t="inlineStr">
        <is>
          <t>WAV bestandsinspectie faalt.</t>
        </is>
      </c>
      <c r="L14" s="16" t="inlineStr">
        <is>
          <t>WaveWriter class met standaard wave module.</t>
        </is>
      </c>
      <c r="M14" s="16" t="inlineStr">
        <is>
          <t>US-007</t>
        </is>
      </c>
      <c r="N14" s="18" t="inlineStr">
        <is>
          <t>CLI render maakte outputs/demo.wav met 2 kanalen, 44100 Hz, 44100 frames.</t>
        </is>
      </c>
    </row>
    <row r="15" ht="15" customHeight="1">
      <c r="A15" s="15" t="inlineStr">
        <is>
          <t>US-011</t>
        </is>
      </c>
      <c r="B15" s="16" t="inlineStr">
        <is>
          <t>Story</t>
        </is>
      </c>
      <c r="C15" s="16" t="inlineStr">
        <is>
          <t>Realtime CLI Playback</t>
        </is>
      </c>
      <c r="D15" s="16" t="inlineStr">
        <is>
          <t>Play Single Note</t>
        </is>
      </c>
      <c r="E15" s="16" t="inlineStr">
        <is>
          <t>Done</t>
        </is>
      </c>
      <c r="F15" s="16" t="inlineStr">
        <is>
          <t>Must</t>
        </is>
      </c>
      <c r="G15" s="16" t="inlineStr">
        <is>
          <t>Lead Developer</t>
        </is>
      </c>
      <c r="H15" s="45" t="n">
        <v>5</v>
      </c>
      <c r="I15" s="16" t="inlineStr">
        <is>
          <t>Sprint 1</t>
        </is>
      </c>
      <c r="J15" s="16" t="inlineStr">
        <is>
          <t>play --note C3 maakt hoorbaar geluid en kan --audio-device gebruiken.</t>
        </is>
      </c>
      <c r="K15" s="16" t="inlineStr">
        <is>
          <t>Audio output adapter en CLI parsing tests falen.</t>
        </is>
      </c>
      <c r="L15" s="16" t="inlineStr">
        <is>
          <t>sounddevice adapter, audio list-devices, --audio-device en Scarlett testdocs.</t>
        </is>
      </c>
      <c r="M15" s="16" t="inlineStr">
        <is>
          <t>US-007</t>
        </is>
      </c>
      <c r="N15" s="18" t="inlineStr">
        <is>
          <t>Klanttest geslaagd: hoorbaar geluid via Scarlett 8i6 USB.</t>
        </is>
      </c>
    </row>
    <row r="16" ht="15" customHeight="1">
      <c r="A16" s="15" t="inlineStr">
        <is>
          <t>US-012</t>
        </is>
      </c>
      <c r="B16" s="16" t="inlineStr">
        <is>
          <t>Story</t>
        </is>
      </c>
      <c r="C16" s="16" t="inlineStr">
        <is>
          <t>Realtime CLI Playback</t>
        </is>
      </c>
      <c r="D16" s="16" t="inlineStr">
        <is>
          <t>Play Testsequence</t>
        </is>
      </c>
      <c r="E16" s="16" t="inlineStr">
        <is>
          <t>Done</t>
        </is>
      </c>
      <c r="F16" s="16" t="inlineStr">
        <is>
          <t>Must</t>
        </is>
      </c>
      <c r="G16" s="16" t="inlineStr">
        <is>
          <t>Lead Developer</t>
        </is>
      </c>
      <c r="H16" s="45" t="n">
        <v>3</v>
      </c>
      <c r="I16" s="16" t="inlineStr">
        <is>
          <t>Sprint 1</t>
        </is>
      </c>
      <c r="J16" s="16" t="inlineStr">
        <is>
          <t>play --testsequence ACGD speelt vier noten en ondersteunt --audio-device.</t>
        </is>
      </c>
      <c r="K16" s="16" t="inlineStr">
        <is>
          <t>Sequence playback test faalt.</t>
        </is>
      </c>
      <c r="L16" s="16" t="inlineStr">
        <is>
          <t>Playback engine voor NoteSequence plus CLI verbose eventdiagnose.</t>
        </is>
      </c>
      <c r="M16" s="16" t="inlineStr">
        <is>
          <t>US-005, US-011</t>
        </is>
      </c>
      <c r="N16" s="18" t="inlineStr">
        <is>
          <t>Klanttest geslaagd: ACGD sequence hoorbaar via Scarlett 8i6 USB.</t>
        </is>
      </c>
    </row>
    <row r="17" ht="15" customHeight="1">
      <c r="A17" s="15" t="inlineStr">
        <is>
          <t>US-013</t>
        </is>
      </c>
      <c r="B17" s="16" t="inlineStr">
        <is>
          <t>Story</t>
        </is>
      </c>
      <c r="C17" s="16" t="inlineStr">
        <is>
          <t>Realtime CLI Playback</t>
        </is>
      </c>
      <c r="D17" s="16" t="inlineStr">
        <is>
          <t>Channel Selection</t>
        </is>
      </c>
      <c r="E17" s="16" t="inlineStr">
        <is>
          <t>Done</t>
        </is>
      </c>
      <c r="F17" s="16" t="inlineStr">
        <is>
          <t>Must</t>
        </is>
      </c>
      <c r="G17" s="16" t="inlineStr">
        <is>
          <t>QA Engineer</t>
        </is>
      </c>
      <c r="H17" s="45" t="n">
        <v>3</v>
      </c>
      <c r="I17" s="16" t="inlineStr">
        <is>
          <t>Sprint 1</t>
        </is>
      </c>
      <c r="J17" s="16" t="inlineStr">
        <is>
          <t>stereo/left/right kanaalrouting werkt met traceerbare code-docstrings.</t>
        </is>
      </c>
      <c r="K17" s="16" t="inlineStr">
        <is>
          <t>Kanaalrouting en traceability tests falen.</t>
        </is>
      </c>
      <c r="L17" s="16" t="inlineStr">
        <is>
          <t>ChannelRouter, SynthEngine en CLI tests voor stereo/left/right plus code traceability.</t>
        </is>
      </c>
      <c r="M17" s="16" t="inlineStr">
        <is>
          <t>US-010, US-011</t>
        </is>
      </c>
      <c r="N17" s="18" t="inlineStr">
        <is>
          <t>Klanttest geslaagd: stereo, left en right hoorbaar via Scarlett 8i6 USB.</t>
        </is>
      </c>
    </row>
    <row r="18" ht="15" customHeight="1">
      <c r="A18" s="15" t="inlineStr">
        <is>
          <t>US-014</t>
        </is>
      </c>
      <c r="B18" s="16" t="inlineStr">
        <is>
          <t>Story</t>
        </is>
      </c>
      <c r="C18" s="16" t="inlineStr">
        <is>
          <t>Configuratie En CLI</t>
        </is>
      </c>
      <c r="D18" s="16" t="inlineStr">
        <is>
          <t>YAML Patch Config</t>
        </is>
      </c>
      <c r="E18" s="16" t="inlineStr">
        <is>
          <t>Done</t>
        </is>
      </c>
      <c r="F18" s="16" t="inlineStr">
        <is>
          <t>Must</t>
        </is>
      </c>
      <c r="G18" s="16" t="inlineStr">
        <is>
          <t>Lead Developer</t>
        </is>
      </c>
      <c r="H18" s="45" t="n">
        <v>3</v>
      </c>
      <c r="I18" s="16" t="inlineStr">
        <is>
          <t>Sprint 1</t>
        </is>
      </c>
      <c r="J18" s="16" t="inlineStr">
        <is>
          <t>Patch YAML laadt oscillator, duration, sample_rate en channel.</t>
        </is>
      </c>
      <c r="K18" s="16" t="inlineStr">
        <is>
          <t>Patch loader tests falen.</t>
        </is>
      </c>
      <c r="L18" s="16" t="inlineStr">
        <is>
          <t>PatchConfig class en loader.</t>
        </is>
      </c>
      <c r="M18" s="16" t="inlineStr">
        <is>
          <t>US-007</t>
        </is>
      </c>
      <c r="N18" s="18" t="inlineStr">
        <is>
          <t>PyYAML loader, example patch en config test toegevoegd.</t>
        </is>
      </c>
    </row>
    <row r="19" ht="15" customHeight="1">
      <c r="A19" s="15" t="inlineStr">
        <is>
          <t>US-015</t>
        </is>
      </c>
      <c r="B19" s="16" t="inlineStr">
        <is>
          <t>Story</t>
        </is>
      </c>
      <c r="C19" s="16" t="inlineStr">
        <is>
          <t>Configuratie En CLI</t>
        </is>
      </c>
      <c r="D19" s="16" t="inlineStr">
        <is>
          <t>Render Command</t>
        </is>
      </c>
      <c r="E19" s="16" t="inlineStr">
        <is>
          <t>Done</t>
        </is>
      </c>
      <c r="F19" s="16" t="inlineStr">
        <is>
          <t>Must</t>
        </is>
      </c>
      <c r="G19" s="16" t="inlineStr">
        <is>
          <t>Lead Developer</t>
        </is>
      </c>
      <c r="H19" s="45" t="n">
        <v>3</v>
      </c>
      <c r="I19" s="16" t="inlineStr">
        <is>
          <t>Sprint 1</t>
        </is>
      </c>
      <c r="J19" s="16" t="inlineStr">
        <is>
          <t>render patch.yaml --output demo.wav schrijft WAV.</t>
        </is>
      </c>
      <c r="K19" s="16" t="inlineStr">
        <is>
          <t>CLI render test faalt.</t>
        </is>
      </c>
      <c r="L19" s="16" t="inlineStr">
        <is>
          <t>argparse command en render workflow.</t>
        </is>
      </c>
      <c r="M19" s="16" t="inlineStr">
        <is>
          <t>US-010, US-014</t>
        </is>
      </c>
      <c r="N19" s="18" t="inlineStr">
        <is>
          <t>CLI render succesvol geverifieerd.</t>
        </is>
      </c>
    </row>
    <row r="20" ht="15" customHeight="1">
      <c r="A20" s="15" t="inlineStr">
        <is>
          <t>US-016</t>
        </is>
      </c>
      <c r="B20" s="16" t="inlineStr">
        <is>
          <t>Story</t>
        </is>
      </c>
      <c r="C20" s="16" t="inlineStr">
        <is>
          <t>Configuratie En CLI</t>
        </is>
      </c>
      <c r="D20" s="16" t="inlineStr">
        <is>
          <t>Debuglevel</t>
        </is>
      </c>
      <c r="E20" s="16" t="inlineStr">
        <is>
          <t>Done</t>
        </is>
      </c>
      <c r="F20" s="16" t="inlineStr">
        <is>
          <t>Should</t>
        </is>
      </c>
      <c r="G20" s="16" t="inlineStr">
        <is>
          <t>QA Engineer</t>
        </is>
      </c>
      <c r="H20" s="45" t="n">
        <v>2</v>
      </c>
      <c r="I20" s="16" t="inlineStr">
        <is>
          <t>Sprint 1</t>
        </is>
      </c>
      <c r="J20" s="16" t="inlineStr">
        <is>
          <t>none/light/verbose tonen juiste hoeveelheid output met traceerbare code-docstrings.</t>
        </is>
      </c>
      <c r="K20" s="16" t="inlineStr">
        <is>
          <t>DebugReporter, CLI output en traceability tests falen.</t>
        </is>
      </c>
      <c r="L20" s="16" t="inlineStr">
        <is>
          <t>DebugLevel, DebugReporter en CLI output tests voor none/light/verbose.</t>
        </is>
      </c>
      <c r="M20" s="16" t="inlineStr">
        <is>
          <t>US-011, US-015</t>
        </is>
      </c>
      <c r="N20" s="18" t="inlineStr">
        <is>
          <t>pytest groen: none onderdrukt status, light toont hoofdacties, verbose toont technische details.</t>
        </is>
      </c>
    </row>
    <row r="21" ht="15" customHeight="1">
      <c r="A21" s="15" t="inlineStr">
        <is>
          <t>US-017</t>
        </is>
      </c>
      <c r="B21" s="16" t="inlineStr">
        <is>
          <t>Story</t>
        </is>
      </c>
      <c r="C21" s="16" t="inlineStr">
        <is>
          <t>Documentatie En Governance</t>
        </is>
      </c>
      <c r="D21" s="16" t="inlineStr">
        <is>
          <t>README Startinstructies</t>
        </is>
      </c>
      <c r="E21" s="16" t="inlineStr">
        <is>
          <t>Done</t>
        </is>
      </c>
      <c r="F21" s="16" t="inlineStr">
        <is>
          <t>Must</t>
        </is>
      </c>
      <c r="G21" s="16" t="inlineStr">
        <is>
          <t>Technical Writer</t>
        </is>
      </c>
      <c r="H21" s="45" t="n">
        <v>2</v>
      </c>
      <c r="I21" s="16" t="inlineStr">
        <is>
          <t>Sprint 1</t>
        </is>
      </c>
      <c r="J21" s="16" t="inlineStr">
        <is>
          <t>README beschrijft setup, test, play, render en debug.</t>
        </is>
      </c>
      <c r="K21" s="16" t="inlineStr">
        <is>
          <t>Docs review checklist faalt.</t>
        </is>
      </c>
      <c r="L21" s="16" t="inlineStr">
        <is>
          <t>README update na skeleton.</t>
        </is>
      </c>
      <c r="M21" s="16" t="inlineStr">
        <is>
          <t>US-001</t>
        </is>
      </c>
      <c r="N21" s="18" t="inlineStr">
        <is>
          <t>README bijgewerkt met venv, CLI, tests en VS Code.</t>
        </is>
      </c>
    </row>
    <row r="22" ht="15" customHeight="1">
      <c r="A22" s="19" t="inlineStr">
        <is>
          <t>US-018</t>
        </is>
      </c>
      <c r="B22" s="20" t="inlineStr">
        <is>
          <t>Story</t>
        </is>
      </c>
      <c r="C22" s="20" t="inlineStr">
        <is>
          <t>Documentatie En Governance</t>
        </is>
      </c>
      <c r="D22" s="20" t="inlineStr">
        <is>
          <t>Agile Artefacts</t>
        </is>
      </c>
      <c r="E22" s="20" t="inlineStr">
        <is>
          <t>Done</t>
        </is>
      </c>
      <c r="F22" s="20" t="inlineStr">
        <is>
          <t>Must</t>
        </is>
      </c>
      <c r="G22" s="20" t="inlineStr">
        <is>
          <t>Product Owner</t>
        </is>
      </c>
      <c r="H22" s="46" t="n">
        <v>2</v>
      </c>
      <c r="I22" s="20" t="inlineStr">
        <is>
          <t>Sprint 0</t>
        </is>
      </c>
      <c r="J22" s="20" t="inlineStr">
        <is>
          <t>Scope, stories, criteria en Kanban workbook bestaan.</t>
        </is>
      </c>
      <c r="K22" s="20" t="inlineStr">
        <is>
          <t>Artefact checklist faalt.</t>
        </is>
      </c>
      <c r="L22" s="20" t="inlineStr">
        <is>
          <t>Markdown docs en Excel Kanban genereren.</t>
        </is>
      </c>
      <c r="M22" s="20" t="inlineStr">
        <is>
          <t>None</t>
        </is>
      </c>
      <c r="N22" s="22" t="inlineStr">
        <is>
          <t>Artefacts en workbook bijgewerkt.</t>
        </is>
      </c>
    </row>
  </sheetData>
  <mergeCells count="2">
    <mergeCell ref="A2:N2"/>
    <mergeCell ref="A1:N1"/>
  </mergeCells>
  <dataValidations count="3">
    <dataValidation sqref="E5:E100" showDropDown="0" showInputMessage="0" showErrorMessage="0" allowBlank="0" type="list">
      <formula1>"To Do,In Progress,In Review,Done,Blocked"</formula1>
    </dataValidation>
    <dataValidation sqref="F5:F100" showDropDown="0" showInputMessage="0" showErrorMessage="0" allowBlank="0" type="list">
      <formula1>"Must,Should,Could,Won't"</formula1>
    </dataValidation>
    <dataValidation sqref="G5:G100" showDropDown="0" showInputMessage="0" showErrorMessage="0" allowBlank="0" type="list">
      <formula1>"Product Owner,Lead Developer,DSP Engineer,QA Engineer,Release Engineer,Technical Writer"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28" customWidth="1" min="3" max="3"/>
    <col width="34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25" t="inlineStr">
        <is>
          <t>python-d1-synth Future MIDI/DAW Backlog</t>
        </is>
      </c>
    </row>
    <row r="2">
      <c r="A2" s="28" t="inlineStr">
        <is>
          <t>Scope mutation: Logic Pro 12.3, other DAWs, generic USB MIDI, external MIDI, RaspiMidiHub, physical MIDI hub, MiniFreak, Arturia KeyLab Mk3, Fishman TriplePlay, M-Vave</t>
        </is>
      </c>
    </row>
    <row r="4" ht="15" customHeight="1">
      <c r="A4" s="32" t="inlineStr">
        <is>
          <t>ID</t>
        </is>
      </c>
      <c r="B4" s="33" t="inlineStr">
        <is>
          <t>Type</t>
        </is>
      </c>
      <c r="C4" s="33" t="inlineStr">
        <is>
          <t>Epic</t>
        </is>
      </c>
      <c r="D4" s="33" t="inlineStr">
        <is>
          <t>Title</t>
        </is>
      </c>
      <c r="E4" s="33" t="inlineStr">
        <is>
          <t>Status</t>
        </is>
      </c>
      <c r="F4" s="33" t="inlineStr">
        <is>
          <t>Priority</t>
        </is>
      </c>
      <c r="G4" s="33" t="inlineStr">
        <is>
          <t>Owner</t>
        </is>
      </c>
      <c r="H4" s="33" t="inlineStr">
        <is>
          <t>Story Points</t>
        </is>
      </c>
      <c r="I4" s="33" t="inlineStr">
        <is>
          <t>Sprint</t>
        </is>
      </c>
      <c r="J4" s="33" t="inlineStr">
        <is>
          <t>Acceptance Criteria Summary</t>
        </is>
      </c>
      <c r="K4" s="33" t="inlineStr">
        <is>
          <t>Red Phase Test</t>
        </is>
      </c>
      <c r="L4" s="33" t="inlineStr">
        <is>
          <t>Green Phase Work</t>
        </is>
      </c>
      <c r="M4" s="33" t="inlineStr">
        <is>
          <t>Dependencies</t>
        </is>
      </c>
      <c r="N4" s="34" t="inlineStr">
        <is>
          <t>Notes</t>
        </is>
      </c>
    </row>
    <row r="5" ht="15" customHeight="1">
      <c r="A5" s="35" t="inlineStr">
        <is>
          <t>US-019</t>
        </is>
      </c>
      <c r="B5" s="36" t="inlineStr">
        <is>
          <t>Story</t>
        </is>
      </c>
      <c r="C5" s="36" t="inlineStr">
        <is>
          <t>Future MIDI En DAW Integratie</t>
        </is>
      </c>
      <c r="D5" s="36" t="inlineStr">
        <is>
          <t>MIDI Leerpad En Terminologie</t>
        </is>
      </c>
      <c r="E5" s="36" t="inlineStr">
        <is>
          <t>Done</t>
        </is>
      </c>
      <c r="F5" s="36" t="inlineStr">
        <is>
          <t>Must</t>
        </is>
      </c>
      <c r="G5" s="36" t="inlineStr">
        <is>
          <t>Product Owner</t>
        </is>
      </c>
      <c r="H5" s="47" t="n">
        <v>2</v>
      </c>
      <c r="I5" s="36" t="inlineStr">
        <is>
          <t>Future</t>
        </is>
      </c>
      <c r="J5" s="36" t="inlineStr">
        <is>
          <t>Klant begrijpt note on/off, note number, channel, velocity, MIDI clock en pitch bend.</t>
        </is>
      </c>
      <c r="K5" s="36" t="inlineStr">
        <is>
          <t>Docs ontbreken voor MIDI basisbegrippen.</t>
        </is>
      </c>
      <c r="L5" s="36" t="inlineStr">
        <is>
          <t>MIDI concept guide en glossary met NoteEvent mapping.</t>
        </is>
      </c>
      <c r="M5" s="36" t="inlineStr">
        <is>
          <t>US-006</t>
        </is>
      </c>
      <c r="N5" s="38" t="inlineStr">
        <is>
          <t>docs/midi_learning_path_v0.1.0.md en pytest docs-check groen.</t>
        </is>
      </c>
    </row>
    <row r="6" ht="15" customHeight="1">
      <c r="A6" s="35" t="inlineStr">
        <is>
          <t>US-020</t>
        </is>
      </c>
      <c r="B6" s="36" t="inlineStr">
        <is>
          <t>Story</t>
        </is>
      </c>
      <c r="C6" s="36" t="inlineStr">
        <is>
          <t>Future MIDI En DAW Integratie</t>
        </is>
      </c>
      <c r="D6" s="36" t="inlineStr">
        <is>
          <t>Virtual MIDI Input Voor DAW</t>
        </is>
      </c>
      <c r="E6" s="36" t="inlineStr">
        <is>
          <t>Done</t>
        </is>
      </c>
      <c r="F6" s="36" t="inlineStr">
        <is>
          <t>Must</t>
        </is>
      </c>
      <c r="G6" s="36" t="inlineStr">
        <is>
          <t>Lead Developer</t>
        </is>
      </c>
      <c r="H6" s="47" t="n">
        <v>5</v>
      </c>
      <c r="I6" s="36" t="inlineStr">
        <is>
          <t>Future</t>
        </is>
      </c>
      <c r="J6" s="36" t="inlineStr">
        <is>
          <t>Logic Pro 12.3 of andere DAW heeft veilige virtual MIDI input voorbereiding en note-event mapping.</t>
        </is>
      </c>
      <c r="K6" s="36" t="inlineStr">
        <is>
          <t>Virtual MIDI adapter, CLI diagnose en traceability tests falen.</t>
        </is>
      </c>
      <c r="L6" s="36" t="inlineStr">
        <is>
          <t>VirtualMidiInputAdapter, MidiMessage en midi diagnose-virtual-input.</t>
        </is>
      </c>
      <c r="M6" s="36" t="inlineStr">
        <is>
          <t>US-006, US-019</t>
        </is>
      </c>
      <c r="N6" s="38" t="inlineStr">
        <is>
          <t>pytest groen: note on/off mapping, velocity zero note-off, CLI diagnose en traceability.</t>
        </is>
      </c>
    </row>
    <row r="7" ht="15" customHeight="1">
      <c r="A7" s="35" t="inlineStr">
        <is>
          <t>US-021</t>
        </is>
      </c>
      <c r="B7" s="36" t="inlineStr">
        <is>
          <t>Story</t>
        </is>
      </c>
      <c r="C7" s="36" t="inlineStr">
        <is>
          <t>Future MIDI En DAW Integratie</t>
        </is>
      </c>
      <c r="D7" s="36" t="inlineStr">
        <is>
          <t>External MIDI Workflow In Logic</t>
        </is>
      </c>
      <c r="E7" s="36" t="inlineStr">
        <is>
          <t>Done</t>
        </is>
      </c>
      <c r="F7" s="36" t="inlineStr">
        <is>
          <t>Should</t>
        </is>
      </c>
      <c r="G7" s="36" t="inlineStr">
        <is>
          <t>Release Engineer</t>
        </is>
      </c>
      <c r="H7" s="47" t="n">
        <v>3</v>
      </c>
      <c r="I7" s="36" t="inlineStr">
        <is>
          <t>Future</t>
        </is>
      </c>
      <c r="J7" s="36" t="inlineStr">
        <is>
          <t>External MIDI workflow in Logic is reproduceerbaar beschreven en klanttest is vastgelegd.</t>
        </is>
      </c>
      <c r="K7" s="36" t="inlineStr">
        <is>
          <t>Logic external MIDI setup test faalt of ontbreekt.</t>
        </is>
      </c>
      <c r="L7" s="36" t="inlineStr">
        <is>
          <t>Logic/IAC workflowdoc en handmatige testresultaatregistratie.</t>
        </is>
      </c>
      <c r="M7" s="36" t="inlineStr">
        <is>
          <t>US-020</t>
        </is>
      </c>
      <c r="N7" s="38" t="inlineStr">
        <is>
          <t>Klanttest geslaagd: IAC route zichtbaar, Python diagnose OK, geen geluid verwacht in US-021.</t>
        </is>
      </c>
    </row>
    <row r="8" ht="15" customHeight="1">
      <c r="A8" s="35" t="inlineStr">
        <is>
          <t>US-022</t>
        </is>
      </c>
      <c r="B8" s="36" t="inlineStr">
        <is>
          <t>Story</t>
        </is>
      </c>
      <c r="C8" s="36" t="inlineStr">
        <is>
          <t>Future MIDI En DAW Integratie</t>
        </is>
      </c>
      <c r="D8" s="36" t="inlineStr">
        <is>
          <t>USB MIDI Hardware Input</t>
        </is>
      </c>
      <c r="E8" s="36" t="inlineStr">
        <is>
          <t>Done</t>
        </is>
      </c>
      <c r="F8" s="36" t="inlineStr">
        <is>
          <t>Must</t>
        </is>
      </c>
      <c r="G8" s="36" t="inlineStr">
        <is>
          <t>Lead Developer</t>
        </is>
      </c>
      <c r="H8" s="47" t="n">
        <v>5</v>
      </c>
      <c r="I8" s="36" t="inlineStr">
        <is>
          <t>Future</t>
        </is>
      </c>
      <c r="J8" s="36" t="inlineStr">
        <is>
          <t>Generieke USB MIDI inputdiagnose werkt na list-devices en expliciete device/default keuze.</t>
        </is>
      </c>
      <c r="K8" s="36" t="inlineStr">
        <is>
          <t>Hardware MIDI test faalt wanneer Python geen devices scant terwijl Logic devices toont.</t>
        </is>
      </c>
      <c r="L8" s="36" t="inlineStr">
        <is>
          <t>Backenddetails, BLOCKER output en tests/test_hardware_midi.py voor echte device scan.</t>
        </is>
      </c>
      <c r="M8" s="36" t="inlineStr">
        <is>
          <t>US-019, US-024</t>
        </is>
      </c>
      <c r="N8" s="38" t="inlineStr">
        <is>
          <t>Klanttest geslaagd op KodeklopperM4: MIDI input/output devices gelist, inclusief Scarlett 8i6 USB, SMK-37 Pro_BLE en SN76489 CircuitPython ESP32 S2.</t>
        </is>
      </c>
    </row>
    <row r="9" ht="15" customHeight="1">
      <c r="A9" s="35" t="inlineStr">
        <is>
          <t>US-023</t>
        </is>
      </c>
      <c r="B9" s="36" t="inlineStr">
        <is>
          <t>Story</t>
        </is>
      </c>
      <c r="C9" s="36" t="inlineStr">
        <is>
          <t>Future MIDI En DAW Integratie</t>
        </is>
      </c>
      <c r="D9" s="36" t="inlineStr">
        <is>
          <t>Studio MIDI Routing Integratietest</t>
        </is>
      </c>
      <c r="E9" s="36" t="inlineStr">
        <is>
          <t>Done</t>
        </is>
      </c>
      <c r="F9" s="36" t="inlineStr">
        <is>
          <t>Should</t>
        </is>
      </c>
      <c r="G9" s="36" t="inlineStr">
        <is>
          <t>QA Engineer</t>
        </is>
      </c>
      <c r="H9" s="47" t="n">
        <v>3</v>
      </c>
      <c r="I9" s="36" t="inlineStr">
        <is>
          <t>Future</t>
        </is>
      </c>
      <c r="J9" s="36" t="inlineStr">
        <is>
          <t>Testmatrix dekt DAW bus, USB MIDI, controllers, guitar MIDI, synth hardware, CircuitPython/ESP32, Windows en Raspberry Pi.</t>
        </is>
      </c>
      <c r="K9" s="36" t="inlineStr">
        <is>
          <t>Integratietestplan ontbreekt.</t>
        </is>
      </c>
      <c r="L9" s="36" t="inlineStr">
        <is>
          <t>Routing matrix, host snapshots en placeholder-regel voor device-namen.</t>
        </is>
      </c>
      <c r="M9" s="36" t="inlineStr">
        <is>
          <t>US-022</t>
        </is>
      </c>
      <c r="N9" s="38" t="inlineStr">
        <is>
          <t>docs/studio_midi_routing_integration_v0.1.0.md legt KodeklopperM4 en MuziekM4 snapshots vast als testdata, niet als code constants.</t>
        </is>
      </c>
    </row>
    <row r="10" ht="15" customHeight="1">
      <c r="A10" s="35" t="inlineStr">
        <is>
          <t>US-024</t>
        </is>
      </c>
      <c r="B10" s="36" t="inlineStr">
        <is>
          <t>Story</t>
        </is>
      </c>
      <c r="C10" s="36" t="inlineStr">
        <is>
          <t>Future MIDI En DAW Integratie</t>
        </is>
      </c>
      <c r="D10" s="36" t="inlineStr">
        <is>
          <t>MIDI Naar NoteEvent Mapping</t>
        </is>
      </c>
      <c r="E10" s="36" t="inlineStr">
        <is>
          <t>Done</t>
        </is>
      </c>
      <c r="F10" s="36" t="inlineStr">
        <is>
          <t>Must</t>
        </is>
      </c>
      <c r="G10" s="36" t="inlineStr">
        <is>
          <t>DSP Engineer</t>
        </is>
      </c>
      <c r="H10" s="47" t="n">
        <v>5</v>
      </c>
      <c r="I10" s="36" t="inlineStr">
        <is>
          <t>Future</t>
        </is>
      </c>
      <c r="J10" s="36" t="inlineStr">
        <is>
          <t>MIDI note on/off wordt correct naar NoteEvent gemapt, inclusief channel en genormaliseerde velocity.</t>
        </is>
      </c>
      <c r="K10" s="36" t="inlineStr">
        <is>
          <t>Mapper tests falen voor note number, channel, velocity, velocity-zero note-off en ontbrekende note-off.</t>
        </is>
      </c>
      <c r="L10" s="36" t="inlineStr">
        <is>
          <t>MidiToNoteEventMapper class en VirtualMidiInputAdapter hergebruik van dezelfde mapper.</t>
        </is>
      </c>
      <c r="M10" s="36" t="inlineStr">
        <is>
          <t>US-006, US-019</t>
        </is>
      </c>
      <c r="N10" s="38" t="inlineStr">
        <is>
          <t>pytest groen: note number 60 -&gt; C4, channels blijven gescheiden, default duration werkt en docs/traceability zijn bijgewerkt.</t>
        </is>
      </c>
    </row>
    <row r="11" ht="15" customHeight="1">
      <c r="A11" s="35" t="inlineStr">
        <is>
          <t>US-025</t>
        </is>
      </c>
      <c r="B11" s="36" t="inlineStr">
        <is>
          <t>Story</t>
        </is>
      </c>
      <c r="C11" s="36" t="inlineStr">
        <is>
          <t>Future MIDI En DAW Integratie</t>
        </is>
      </c>
      <c r="D11" s="36" t="inlineStr">
        <is>
          <t>MIDI Device Discovery En Default Selection</t>
        </is>
      </c>
      <c r="E11" s="36" t="inlineStr">
        <is>
          <t>Done</t>
        </is>
      </c>
      <c r="F11" s="36" t="inlineStr">
        <is>
          <t>Must</t>
        </is>
      </c>
      <c r="G11" s="36" t="inlineStr">
        <is>
          <t>Lead Developer</t>
        </is>
      </c>
      <c r="H11" s="47" t="n">
        <v>3</v>
      </c>
      <c r="I11" s="36" t="inlineStr">
        <is>
          <t>Future</t>
        </is>
      </c>
      <c r="J11" s="36" t="inlineStr">
        <is>
          <t>CLI scant MIDI devices veilig en kiest input via CLI naam, CLI identifier of YAML default.</t>
        </is>
      </c>
      <c r="K11" s="36" t="inlineStr">
        <is>
          <t>Device discovery, identifier selectie, config precedence en missing-device tests falen.</t>
        </is>
      </c>
      <c r="L11" s="36" t="inlineStr">
        <is>
          <t>MidiDeviceSelector, MidiDeviceSelection en midi list-devices flags --midi-device, --midi-device-id en --config.</t>
        </is>
      </c>
      <c r="M11" s="36" t="inlineStr">
        <is>
          <t>US-019, US-020, US-022</t>
        </is>
      </c>
      <c r="N11" s="38" t="inlineStr">
        <is>
          <t>pytest groen: CLI wint van YAML, output devices worden niet als input geselecteerd, geen hardcoded MIDI device names.</t>
        </is>
      </c>
    </row>
    <row r="12" ht="15" customHeight="1">
      <c r="A12" s="35" t="inlineStr">
        <is>
          <t>US-026</t>
        </is>
      </c>
      <c r="B12" s="36" t="inlineStr">
        <is>
          <t>Story</t>
        </is>
      </c>
      <c r="C12" s="36" t="inlineStr">
        <is>
          <t>Future MIDI En DAW Integratie</t>
        </is>
      </c>
      <c r="D12" s="36" t="inlineStr">
        <is>
          <t>Live MIDI Input Receive Loop</t>
        </is>
      </c>
      <c r="E12" s="36" t="inlineStr">
        <is>
          <t>Done</t>
        </is>
      </c>
      <c r="F12" s="36" t="inlineStr">
        <is>
          <t>Must</t>
        </is>
      </c>
      <c r="G12" s="36" t="inlineStr">
        <is>
          <t>Lead Developer</t>
        </is>
      </c>
      <c r="H12" s="47" t="n">
        <v>5</v>
      </c>
      <c r="I12" s="36" t="inlineStr">
        <is>
          <t>Future</t>
        </is>
      </c>
      <c r="J12" s="36" t="inlineStr">
        <is>
          <t>CLI luistert bounded naar gekozen MIDI input en mapped note messages naar NoteSequence.</t>
        </is>
      </c>
      <c r="K12" s="36" t="inlineStr">
        <is>
          <t>Normalizer, fake receive backend en midi listen CLI tests falen.</t>
        </is>
      </c>
      <c r="L12" s="36" t="inlineStr">
        <is>
          <t>MidiMessageNormalizer, LiveMidiInputReceiver, MidiInputReceiveSettings/Result en midi listen command.</t>
        </is>
      </c>
      <c r="M12" s="36" t="inlineStr">
        <is>
          <t>US-024, US-025</t>
        </is>
      </c>
      <c r="N12" s="38" t="inlineStr">
        <is>
          <t>pytest groen en hardwaretest geslaagd op KodeklopperM4: SMK-37 Pro_BLE Bluetooth via naamfragment en input:7 ontving echte MIDI note messages.</t>
        </is>
      </c>
    </row>
    <row r="13" ht="15" customHeight="1">
      <c r="A13" s="35" t="inlineStr">
        <is>
          <t>US-027</t>
        </is>
      </c>
      <c r="B13" s="36" t="inlineStr">
        <is>
          <t>Story</t>
        </is>
      </c>
      <c r="C13" s="36" t="inlineStr">
        <is>
          <t>Future MIDI En DAW Integratie</t>
        </is>
      </c>
      <c r="D13" s="36" t="inlineStr">
        <is>
          <t>Virtual MIDI Port Voor Logic/DAW</t>
        </is>
      </c>
      <c r="E13" s="36" t="inlineStr">
        <is>
          <t>Done</t>
        </is>
      </c>
      <c r="F13" s="36" t="inlineStr">
        <is>
          <t>Should</t>
        </is>
      </c>
      <c r="G13" s="36" t="inlineStr">
        <is>
          <t>Lead Developer</t>
        </is>
      </c>
      <c r="H13" s="47" t="n">
        <v>5</v>
      </c>
      <c r="I13" s="36" t="inlineStr">
        <is>
          <t>Future</t>
        </is>
      </c>
      <c r="J13" s="36" t="inlineStr">
        <is>
          <t>python-d1-synth kan bounded als virtual MIDI destination zichtbaar worden voor Logic/DAW.</t>
        </is>
      </c>
      <c r="K13" s="36" t="inlineStr">
        <is>
          <t>Logic Pro 12.3 moet python-d1-synth tonen als External MIDI destination.</t>
        </is>
      </c>
      <c r="L13" s="36" t="inlineStr">
        <is>
          <t>VirtualMidiPortManager, MidoVirtualMidiPortBackend en midi virtual-port command met fake-backend tests.</t>
        </is>
      </c>
      <c r="M13" s="36" t="inlineStr">
        <is>
          <t>US-026</t>
        </is>
      </c>
      <c r="N13" s="38" t="inlineStr">
        <is>
          <t>Klanttest geslaagd op 2026-07-10 19:25: python-d1-synth zichtbaar als External MIDI destination; niet als Software Instrument is verwacht en buiten US-027.</t>
        </is>
      </c>
    </row>
    <row r="14" ht="15" customHeight="1">
      <c r="A14" s="35" t="inlineStr">
        <is>
          <t>US-028</t>
        </is>
      </c>
      <c r="B14" s="36" t="inlineStr">
        <is>
          <t>Story</t>
        </is>
      </c>
      <c r="C14" s="36" t="inlineStr">
        <is>
          <t>Future MIDI En DAW Integratie</t>
        </is>
      </c>
      <c r="D14" s="36" t="inlineStr">
        <is>
          <t>External MIDI Audio Trigger Integratie</t>
        </is>
      </c>
      <c r="E14" s="36" t="inlineStr">
        <is>
          <t>Done</t>
        </is>
      </c>
      <c r="F14" s="36" t="inlineStr">
        <is>
          <t>Must</t>
        </is>
      </c>
      <c r="G14" s="36" t="inlineStr">
        <is>
          <t>DSP Engineer</t>
        </is>
      </c>
      <c r="H14" s="47" t="n">
        <v>8</v>
      </c>
      <c r="I14" s="36" t="inlineStr">
        <is>
          <t>Future</t>
        </is>
      </c>
      <c r="J14" s="36" t="inlineStr">
        <is>
          <t>Ontvangen MIDI note events triggeren hoorbaar audio via de bestaande synth engine.</t>
        </is>
      </c>
      <c r="K14" s="36" t="inlineStr">
        <is>
          <t>MidiAudioTrigger en midi play-live tests falen totdat fake MIDI naar fake audio werkt.</t>
        </is>
      </c>
      <c r="L14" s="36" t="inlineStr">
        <is>
          <t>MidiAudioTriggerSettings/Result, MidiAudioTrigger en midi play-live command met fake MIDI en fake audio tests.</t>
        </is>
      </c>
      <c r="M14" s="36" t="inlineStr">
        <is>
          <t>US-026, US-027</t>
        </is>
      </c>
      <c r="N14" s="38" t="inlineStr">
        <is>
          <t>Klanttest geslaagd op KodeklopperM4: SMK-37 Pro_BLE Bluetooth speelde hoorbaar stereo audio via Scarlett 8i6 USB; Logic observatie buiten US-028.</t>
        </is>
      </c>
    </row>
    <row r="15" ht="15" customHeight="1">
      <c r="A15" s="35" t="inlineStr">
        <is>
          <t>US-029</t>
        </is>
      </c>
      <c r="B15" s="36" t="inlineStr">
        <is>
          <t>Story</t>
        </is>
      </c>
      <c r="C15" s="36" t="inlineStr">
        <is>
          <t>Future MIDI En DAW Integratie</t>
        </is>
      </c>
      <c r="D15" s="36" t="inlineStr">
        <is>
          <t>Logic/DAW Virtual MIDI Naar Audio Trigger</t>
        </is>
      </c>
      <c r="E15" s="36" t="inlineStr">
        <is>
          <t>Done</t>
        </is>
      </c>
      <c r="F15" s="36" t="inlineStr">
        <is>
          <t>Must</t>
        </is>
      </c>
      <c r="G15" s="36" t="inlineStr">
        <is>
          <t>DSP Engineer</t>
        </is>
      </c>
      <c r="H15" s="47" t="n">
        <v>8</v>
      </c>
      <c r="I15" s="36" t="inlineStr">
        <is>
          <t>Future</t>
        </is>
      </c>
      <c r="J15" s="36" t="inlineStr">
        <is>
          <t>Logic/DAW stuurt MIDI naar virtual port en python-d1-synth speelt hoorbare audio.</t>
        </is>
      </c>
      <c r="K15" s="36" t="inlineStr">
        <is>
          <t>Virtual MIDI audio trigger en CLI play-virtual tests falen totdat fake virtual MIDI naar fake audio werkt.</t>
        </is>
      </c>
      <c r="L15" s="36" t="inlineStr">
        <is>
          <t>MidoVirtualMidiInputBackend, VirtualMidiAudioTriggerSettings/Result, VirtualMidiAudioTrigger en midi play-virtual command.</t>
        </is>
      </c>
      <c r="M15" s="36" t="inlineStr">
        <is>
          <t>US-027, US-028</t>
        </is>
      </c>
      <c r="N15" s="38" t="inlineStr">
        <is>
          <t>Klanttest geslaagd: Logic MIDI region speelde hoorbaar geluid; Python ontving note_on:60 velocity=50 channel=1 via python-d1-synth.</t>
        </is>
      </c>
    </row>
    <row r="16" ht="15" customHeight="1">
      <c r="A16" s="35" t="inlineStr">
        <is>
          <t>US-030</t>
        </is>
      </c>
      <c r="B16" s="36" t="inlineStr">
        <is>
          <t>Story</t>
        </is>
      </c>
      <c r="C16" s="36" t="inlineStr">
        <is>
          <t>Future MIDI En DAW Integratie</t>
        </is>
      </c>
      <c r="D16" s="36" t="inlineStr">
        <is>
          <t>Logic MIDI Region Multi-Note Playback</t>
        </is>
      </c>
      <c r="E16" s="36" t="inlineStr">
        <is>
          <t>Done</t>
        </is>
      </c>
      <c r="F16" s="36" t="inlineStr">
        <is>
          <t>Must</t>
        </is>
      </c>
      <c r="G16" s="36" t="inlineStr">
        <is>
          <t>DSP Engineer</t>
        </is>
      </c>
      <c r="H16" s="47" t="n">
        <v>5</v>
      </c>
      <c r="I16" s="36" t="inlineStr">
        <is>
          <t>Future</t>
        </is>
      </c>
      <c r="J16" s="36" t="inlineStr">
        <is>
          <t>Korte Logic MIDI region met meerdere noten rendert als hoorbare batch.</t>
        </is>
      </c>
      <c r="K16" s="36" t="inlineStr">
        <is>
          <t>Multi-note mapping, fallback timing en verbose sequence-output tests falen.</t>
        </is>
      </c>
      <c r="L16" s="36" t="inlineStr">
        <is>
          <t>MidiMessageNormalizer fallback time, VirtualMidiAudioTriggerResult.played_events en CLI Rendered sequence events output.</t>
        </is>
      </c>
      <c r="M16" s="36" t="inlineStr">
        <is>
          <t>US-029</t>
        </is>
      </c>
      <c r="N16" s="38" t="inlineStr">
        <is>
          <t>Klanttest geslaagd: Logic speelde 5 hoorbare MIDI-triggered note events; circa 2s delay is batch-scope en geen blocker.</t>
        </is>
      </c>
    </row>
    <row r="17" ht="15" customHeight="1">
      <c r="A17" s="35" t="inlineStr">
        <is>
          <t>US-031</t>
        </is>
      </c>
      <c r="B17" s="36" t="inlineStr">
        <is>
          <t>Story</t>
        </is>
      </c>
      <c r="C17" s="36" t="inlineStr">
        <is>
          <t>Future MIDI En DAW Integratie</t>
        </is>
      </c>
      <c r="D17" s="36" t="inlineStr">
        <is>
          <t>Live/Streaming MIDI Playback Loop</t>
        </is>
      </c>
      <c r="E17" s="36" t="inlineStr">
        <is>
          <t>Done</t>
        </is>
      </c>
      <c r="F17" s="36" t="inlineStr">
        <is>
          <t>Must</t>
        </is>
      </c>
      <c r="G17" s="36" t="inlineStr">
        <is>
          <t>DSP Engineer</t>
        </is>
      </c>
      <c r="H17" s="47" t="n">
        <v>8</v>
      </c>
      <c r="I17" s="36" t="inlineStr">
        <is>
          <t>Future</t>
        </is>
      </c>
      <c r="J17" s="36" t="inlineStr">
        <is>
          <t>Ontvangen note_on events spelen direct als korte audio buffers.</t>
        </is>
      </c>
      <c r="K17" s="36" t="inlineStr">
        <is>
          <t>Streaming backend, per-note audio calls en play-stream CLI tests falen.</t>
        </is>
      </c>
      <c r="L17" s="36" t="inlineStr">
        <is>
          <t>MidoStreamingVirtualMidiInputBackend, StreamingMidiAudioTrigger en midi play-stream command.</t>
        </is>
      </c>
      <c r="M17" s="36" t="inlineStr">
        <is>
          <t>US-030</t>
        </is>
      </c>
      <c r="N17" s="38" t="inlineStr">
        <is>
          <t>Klanttest geslaagd: Logic streamde 18 hoorbare note events; dubbele events worden US-032.</t>
        </is>
      </c>
    </row>
    <row r="18" ht="15" customHeight="1">
      <c r="A18" s="35" t="inlineStr">
        <is>
          <t>US-032</t>
        </is>
      </c>
      <c r="B18" s="36" t="inlineStr">
        <is>
          <t>Story</t>
        </is>
      </c>
      <c r="C18" s="36" t="inlineStr">
        <is>
          <t>Future MIDI En DAW Integratie</t>
        </is>
      </c>
      <c r="D18" s="36" t="inlineStr">
        <is>
          <t>Duplicate MIDI Event Guard</t>
        </is>
      </c>
      <c r="E18" s="36" t="inlineStr">
        <is>
          <t>Done</t>
        </is>
      </c>
      <c r="F18" s="36" t="inlineStr">
        <is>
          <t>Must</t>
        </is>
      </c>
      <c r="G18" s="36" t="inlineStr">
        <is>
          <t>DSP Engineer</t>
        </is>
      </c>
      <c r="H18" s="47" t="n">
        <v>5</v>
      </c>
      <c r="I18" s="36" t="inlineStr">
        <is>
          <t>Future</t>
        </is>
      </c>
      <c r="J18" s="36" t="inlineStr">
        <is>
          <t>Dubbele MIDI note events uit Logic/routing spelen niet dubbel hoorbaar af, zonder simultane verschillende noten te onderdrukken.</t>
        </is>
      </c>
      <c r="K18" s="36" t="inlineStr">
        <is>
          <t>Dedup window, streaming duplicate suppression, CLI diagnostics en traceability tests falen.</t>
        </is>
      </c>
      <c r="L18" s="36" t="inlineStr">
        <is>
          <t>DuplicateMidiEventGuard, --dedupe-window, suppressed_duplicate_count en docs/duplicate_midi_event_guard_v0.1.0.md.</t>
        </is>
      </c>
      <c r="M18" s="36" t="inlineStr">
        <is>
          <t>US-031</t>
        </is>
      </c>
      <c r="N18" s="38" t="inlineStr">
        <is>
          <t>Klanttest geslaagd: Logic/live playback hoorbaar; 6 note events gespeeld en 23 duplicate MIDI messages onderdrukt. Kleine latency blijft latere story.</t>
        </is>
      </c>
    </row>
    <row r="19" ht="15" customHeight="1">
      <c r="A19" s="35" t="inlineStr">
        <is>
          <t>US-033</t>
        </is>
      </c>
      <c r="B19" s="36" t="inlineStr">
        <is>
          <t>Story</t>
        </is>
      </c>
      <c r="C19" s="36" t="inlineStr">
        <is>
          <t>Future MIDI En DAW Integratie</t>
        </is>
      </c>
      <c r="D19" s="36" t="inlineStr">
        <is>
          <t>Note Off Gated Voice Duration</t>
        </is>
      </c>
      <c r="E19" s="36" t="inlineStr">
        <is>
          <t>Done</t>
        </is>
      </c>
      <c r="F19" s="36" t="inlineStr">
        <is>
          <t>Must</t>
        </is>
      </c>
      <c r="G19" s="36" t="inlineStr">
        <is>
          <t>DSP Engineer</t>
        </is>
      </c>
      <c r="H19" s="47" t="n">
        <v>8</v>
      </c>
      <c r="I19" s="36" t="inlineStr">
        <is>
          <t>Future</t>
        </is>
      </c>
      <c r="J19" s="36" t="inlineStr">
        <is>
          <t>Note-off bepaalt nootlengte in gated streaming mode in plaats van alleen fixed note-duration.</t>
        </is>
      </c>
      <c r="K19" s="36" t="inlineStr">
        <is>
          <t>Voice mode, note_on/note_off duration, fallback duration, CLI diagnostics en traceability tests falen.</t>
        </is>
      </c>
      <c r="L19" s="36" t="inlineStr">
        <is>
          <t>StreamingVoiceMode, --voice-mode gated, active note state per MIDI key en Streamed note durations output.</t>
        </is>
      </c>
      <c r="M19" s="36" t="inlineStr">
        <is>
          <t>US-032</t>
        </is>
      </c>
      <c r="N19" s="38" t="inlineStr">
        <is>
          <t>Done: Product Owner hoorde geluid en accepteerde pulse + duration-reporting als tussenstap; echte sustained audio blijft US-035.</t>
        </is>
      </c>
    </row>
    <row r="20" ht="15" customHeight="1">
      <c r="A20" s="35" t="inlineStr">
        <is>
          <t>US-034</t>
        </is>
      </c>
      <c r="B20" s="36" t="inlineStr">
        <is>
          <t>Story</t>
        </is>
      </c>
      <c r="C20" s="36" t="inlineStr">
        <is>
          <t>Future MIDI En DAW Integratie</t>
        </is>
      </c>
      <c r="D20" s="36" t="inlineStr">
        <is>
          <t>Polyphonic Voice Mixer En Triads</t>
        </is>
      </c>
      <c r="E20" s="36" t="inlineStr">
        <is>
          <t>Done</t>
        </is>
      </c>
      <c r="F20" s="36" t="inlineStr">
        <is>
          <t>Must</t>
        </is>
      </c>
      <c r="G20" s="36" t="inlineStr">
        <is>
          <t>DSP Engineer</t>
        </is>
      </c>
      <c r="H20" s="47" t="n">
        <v>8</v>
      </c>
      <c r="I20" s="36" t="inlineStr">
        <is>
          <t>Future</t>
        </is>
      </c>
      <c r="J20" s="36" t="inlineStr">
        <is>
          <t>Drie of meer gelijktijdige noten kunnen als triads hoorbaar worden gemixt.</t>
        </is>
      </c>
      <c r="K20" s="36" t="inlineStr">
        <is>
          <t>Polyphonic mixer, streaming batch chord grouping, chord-window, CLI diagnostics en traceability tests falen.</t>
        </is>
      </c>
      <c r="L20" s="36" t="inlineStr">
        <is>
          <t>PolyphonicVoiceMixer, mido poll-batches, --chord-window en triad buffer rendering.</t>
        </is>
      </c>
      <c r="M20" s="36" t="inlineStr">
        <is>
          <t>US-033</t>
        </is>
      </c>
      <c r="N20" s="38" t="inlineStr">
        <is>
          <t>Done: Product Owner hoorde akkoordachtige groepen met --chord-window 0.08; sustained voices blijven US-035.</t>
        </is>
      </c>
    </row>
    <row r="21" ht="15" customHeight="1">
      <c r="A21" s="35" t="inlineStr">
        <is>
          <t>US-035</t>
        </is>
      </c>
      <c r="B21" s="36" t="inlineStr">
        <is>
          <t>Story</t>
        </is>
      </c>
      <c r="C21" s="36" t="inlineStr">
        <is>
          <t>Future MIDI En DAW Integratie</t>
        </is>
      </c>
      <c r="D21" s="36" t="inlineStr">
        <is>
          <t>Sustained Note Audio Engine</t>
        </is>
      </c>
      <c r="E21" s="36" t="inlineStr">
        <is>
          <t>In Review</t>
        </is>
      </c>
      <c r="F21" s="36" t="inlineStr">
        <is>
          <t>Must</t>
        </is>
      </c>
      <c r="G21" s="36" t="inlineStr">
        <is>
          <t>DSP Engineer</t>
        </is>
      </c>
      <c r="H21" s="47" t="n">
        <v>8</v>
      </c>
      <c r="I21" s="36" t="inlineStr">
        <is>
          <t>Future</t>
        </is>
      </c>
      <c r="J21" s="36" t="inlineStr">
        <is>
          <t>note_on start een streaming voice en note_off stopt die voice zodat vastgehouden noten hoorbaar aanhouden.</t>
        </is>
      </c>
      <c r="K21" s="36" t="inlineStr">
        <is>
          <t>Sustained audio player, voice lifecycle, CLI sustained mode en traceability tests falen.</t>
        </is>
      </c>
      <c r="L21" s="36" t="inlineStr">
        <is>
          <t>SoundDeviceSustainedAudioPlayer, SustainedAudioPlayerSettings, StreamingVoiceMode.SUSTAINED en --voice-mode sustained.</t>
        </is>
      </c>
      <c r="M21" s="36" t="inlineStr">
        <is>
          <t>US-034</t>
        </is>
      </c>
      <c r="N21" s="38" t="inlineStr">
        <is>
          <t>In review: sustained note-on/note-off lifecycle; sustain pedal, envelope release, pitch bend en modulation blijven latere stories.</t>
        </is>
      </c>
    </row>
    <row r="22" ht="15" customHeight="1">
      <c r="A22" s="39" t="inlineStr">
        <is>
          <t>US-036</t>
        </is>
      </c>
      <c r="B22" s="40" t="inlineStr">
        <is>
          <t>Story</t>
        </is>
      </c>
      <c r="C22" s="40" t="inlineStr">
        <is>
          <t>Future MIDI En DAW Integratie</t>
        </is>
      </c>
      <c r="D22" s="40" t="inlineStr">
        <is>
          <t>MIDI Pitch Bend Mapping En DSP</t>
        </is>
      </c>
      <c r="E22" s="40" t="inlineStr">
        <is>
          <t>Planned</t>
        </is>
      </c>
      <c r="F22" s="40" t="inlineStr">
        <is>
          <t>Should</t>
        </is>
      </c>
      <c r="G22" s="40" t="inlineStr">
        <is>
          <t>DSP Engineer</t>
        </is>
      </c>
      <c r="H22" s="48" t="n">
        <v>5</v>
      </c>
      <c r="I22" s="40" t="inlineStr">
        <is>
          <t>Future</t>
        </is>
      </c>
      <c r="J22" s="40" t="inlineStr">
        <is>
          <t>Pitch bend events buigen oscillatorfrequentie hoorbaar.</t>
        </is>
      </c>
      <c r="K22" s="40" t="inlineStr">
        <is>
          <t>Pitch bend mapping en DSP tests falen.</t>
        </is>
      </c>
      <c r="L22" s="40" t="inlineStr">
        <is>
          <t>Pitch bend parser plus frequentie-offset per channel/voice.</t>
        </is>
      </c>
      <c r="M22" s="40" t="inlineStr">
        <is>
          <t>US-035</t>
        </is>
      </c>
      <c r="N22" s="42" t="inlineStr">
        <is>
          <t>Pitch bend pas na betrouwbare sustained voice state.</t>
        </is>
      </c>
    </row>
    <row r="23">
      <c r="A23" s="39" t="inlineStr">
        <is>
          <t>US-037</t>
        </is>
      </c>
      <c r="B23" s="40" t="inlineStr">
        <is>
          <t>Story</t>
        </is>
      </c>
      <c r="C23" s="40" t="inlineStr">
        <is>
          <t>Future MIDI En DAW Integratie</t>
        </is>
      </c>
      <c r="D23" s="40" t="inlineStr">
        <is>
          <t>MIDI Modulation CC1 Mapping En DSP</t>
        </is>
      </c>
      <c r="E23" s="40" t="inlineStr">
        <is>
          <t>Planned</t>
        </is>
      </c>
      <c r="F23" s="40" t="inlineStr">
        <is>
          <t>Should</t>
        </is>
      </c>
      <c r="G23" s="40" t="inlineStr">
        <is>
          <t>DSP Engineer</t>
        </is>
      </c>
      <c r="H23" s="48" t="n">
        <v>5</v>
      </c>
      <c r="I23" s="40" t="inlineStr">
        <is>
          <t>Future</t>
        </is>
      </c>
      <c r="J23" s="40" t="inlineStr">
        <is>
          <t>CC1 modulation stuurt een hoorbare synthparameter aan.</t>
        </is>
      </c>
      <c r="K23" s="40" t="inlineStr">
        <is>
          <t>CC1 mapping tests falen.</t>
        </is>
      </c>
      <c r="L23" s="40" t="inlineStr">
        <is>
          <t>Control change parser plus eenvoudige modulation target.</t>
        </is>
      </c>
      <c r="M23" s="40" t="inlineStr">
        <is>
          <t>US-035, US-036</t>
        </is>
      </c>
      <c r="N23" s="42" t="inlineStr">
        <is>
          <t>Eerste target later kiezen: vibrato of filter.</t>
        </is>
      </c>
    </row>
  </sheetData>
  <mergeCells count="2">
    <mergeCell ref="A2:N2"/>
    <mergeCell ref="A1:N1"/>
  </mergeCells>
  <dataValidations count="3">
    <dataValidation sqref="E5:E100" showDropDown="0" showInputMessage="0" showErrorMessage="0" allowBlank="0" type="list">
      <formula1>"To Do,In Progress,In Review,Done,Blocked"</formula1>
    </dataValidation>
    <dataValidation sqref="F5:F100" showDropDown="0" showInputMessage="0" showErrorMessage="0" allowBlank="0" type="list">
      <formula1>"Must,Should,Could,Won't"</formula1>
    </dataValidation>
    <dataValidation sqref="G5:G100" showDropDown="0" showInputMessage="0" showErrorMessage="0" allowBlank="0" type="list">
      <formula1>"Product Owner,Lead Developer,DSP Engineer,QA Engineer,Release Engineer,Technical Writer"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37.88999938964844" customWidth="1" min="1" max="1"/>
    <col width="11.10999965667725" customWidth="1" min="2" max="2"/>
    <col width="8.779999732971191" customWidth="1" min="4" max="4"/>
    <col width="4.889999866485596" customWidth="1" min="5" max="5"/>
    <col width="9.439999580383301" customWidth="1" min="6" max="6"/>
  </cols>
  <sheetData>
    <row r="1">
      <c r="A1" s="3" t="inlineStr">
        <is>
          <t>python-d1-synth Sprint 1 Summary</t>
        </is>
      </c>
    </row>
    <row r="3">
      <c r="A3" s="43" t="inlineStr">
        <is>
          <t>Metric</t>
        </is>
      </c>
      <c r="B3" s="43" t="inlineStr">
        <is>
          <t>Value</t>
        </is>
      </c>
      <c r="D3" s="43" t="inlineStr">
        <is>
          <t>Status</t>
        </is>
      </c>
      <c r="E3" s="43" t="inlineStr">
        <is>
          <t>Count</t>
        </is>
      </c>
      <c r="F3" s="43" t="inlineStr">
        <is>
          <t>Story Points</t>
        </is>
      </c>
    </row>
    <row r="4">
      <c r="A4" s="44" t="inlineStr">
        <is>
          <t>Total Stories</t>
        </is>
      </c>
      <c r="B4" s="44">
        <f>COUNTA('Sprint 1 Board'!A5:A22)</f>
        <v/>
      </c>
      <c r="D4" s="44" t="inlineStr">
        <is>
          <t>To Do</t>
        </is>
      </c>
      <c r="E4" s="44">
        <f>COUNTIF('Sprint 1 Board'!E5:E22,D4)</f>
        <v/>
      </c>
      <c r="F4" s="44">
        <f>SUMIF('Sprint 1 Board'!E5:E22,D4,'Sprint 1 Board'!H5:H22)</f>
        <v/>
      </c>
    </row>
    <row r="5">
      <c r="A5" s="44" t="inlineStr">
        <is>
          <t>Must Stories</t>
        </is>
      </c>
      <c r="B5" s="44">
        <f>COUNTIF('Sprint 1 Board'!F5:F22,"Must")</f>
        <v/>
      </c>
      <c r="D5" s="44" t="inlineStr">
        <is>
          <t>In Progress</t>
        </is>
      </c>
      <c r="E5" s="44">
        <f>COUNTIF('Sprint 1 Board'!E5:E22,D5)</f>
        <v/>
      </c>
      <c r="F5" s="44">
        <f>SUMIF('Sprint 1 Board'!E5:E22,D5,'Sprint 1 Board'!H5:H22)</f>
        <v/>
      </c>
    </row>
    <row r="6">
      <c r="A6" s="44" t="inlineStr">
        <is>
          <t>Should Stories</t>
        </is>
      </c>
      <c r="B6" s="44">
        <f>COUNTIF('Sprint 1 Board'!F5:F22,"Should")</f>
        <v/>
      </c>
      <c r="D6" s="44" t="inlineStr">
        <is>
          <t>In Review</t>
        </is>
      </c>
      <c r="E6" s="44">
        <f>COUNTIF('Sprint 1 Board'!E5:E22,D6)</f>
        <v/>
      </c>
      <c r="F6" s="44">
        <f>SUMIF('Sprint 1 Board'!E5:E22,D6,'Sprint 1 Board'!H5:H22)</f>
        <v/>
      </c>
    </row>
    <row r="7">
      <c r="A7" s="44" t="inlineStr">
        <is>
          <t>Total Story Points</t>
        </is>
      </c>
      <c r="B7" s="44">
        <f>SUM('Sprint 1 Board'!H5:H22)</f>
        <v/>
      </c>
      <c r="D7" s="44" t="inlineStr">
        <is>
          <t>Done</t>
        </is>
      </c>
      <c r="E7" s="44">
        <f>COUNTIF('Sprint 1 Board'!E5:E22,D7)</f>
        <v/>
      </c>
      <c r="F7" s="44">
        <f>SUMIF('Sprint 1 Board'!E5:E22,D7,'Sprint 1 Board'!H5:H22)</f>
        <v/>
      </c>
    </row>
    <row r="8">
      <c r="A8" s="44" t="inlineStr">
        <is>
          <t>In Review</t>
        </is>
      </c>
      <c r="B8" s="44">
        <f>COUNTIF('Sprint 1 Board'!E5:E22,"In Review")</f>
        <v/>
      </c>
      <c r="D8" s="44" t="inlineStr">
        <is>
          <t>Blocked</t>
        </is>
      </c>
      <c r="E8" s="44">
        <f>COUNTIF('Sprint 1 Board'!E5:E22,D8)</f>
        <v/>
      </c>
      <c r="F8" s="44">
        <f>SUMIF('Sprint 1 Board'!E5:E22,D8,'Sprint 1 Board'!H5:H22)</f>
        <v/>
      </c>
    </row>
    <row r="9">
      <c r="A9" s="44" t="inlineStr">
        <is>
          <t>Future MIDI/DAW Stories</t>
        </is>
      </c>
      <c r="B9" s="44">
        <f>COUNTA('Future MIDI DAW'!A5:A22)</f>
        <v/>
      </c>
    </row>
    <row r="10">
      <c r="A10" s="44" t="inlineStr">
        <is>
          <t>Future MIDI/DAW Points</t>
        </is>
      </c>
      <c r="B10" s="44">
        <f>SUM('Future MIDI DAW'!H5:H22)</f>
        <v/>
      </c>
    </row>
    <row r="11">
      <c r="A11" s="44" t="inlineStr">
        <is>
          <t>Primary DAW</t>
        </is>
      </c>
      <c r="B11" s="44" t="inlineStr">
        <is>
          <t>Logic Pro 12.3</t>
        </is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16.88999938964844" customWidth="1" min="1" max="1"/>
    <col width="5.670000076293945" customWidth="1" min="2" max="2"/>
    <col width="13.10999965667725" customWidth="1" min="3" max="3"/>
    <col width="8.670000076293945" customWidth="1" min="4" max="4"/>
  </cols>
  <sheetData>
    <row r="1">
      <c r="A1" s="3" t="inlineStr">
        <is>
          <t>Reference Lists</t>
        </is>
      </c>
    </row>
    <row r="3">
      <c r="A3" s="43" t="inlineStr">
        <is>
          <t>Status</t>
        </is>
      </c>
      <c r="B3" s="43" t="inlineStr">
        <is>
          <t>Priority</t>
        </is>
      </c>
      <c r="C3" s="43" t="inlineStr">
        <is>
          <t>Owner</t>
        </is>
      </c>
      <c r="D3" s="43" t="inlineStr">
        <is>
          <t>Debuglevel</t>
        </is>
      </c>
    </row>
    <row r="4">
      <c r="A4" s="44" t="inlineStr">
        <is>
          <t>To Do</t>
        </is>
      </c>
      <c r="B4" s="44" t="inlineStr">
        <is>
          <t>Must</t>
        </is>
      </c>
      <c r="C4" s="44" t="inlineStr">
        <is>
          <t>Product Owner</t>
        </is>
      </c>
      <c r="D4" s="44" t="inlineStr">
        <is>
          <t>none</t>
        </is>
      </c>
    </row>
    <row r="5">
      <c r="A5" s="44" t="inlineStr">
        <is>
          <t>In Progress</t>
        </is>
      </c>
      <c r="B5" s="44" t="inlineStr">
        <is>
          <t>Should</t>
        </is>
      </c>
      <c r="C5" s="44" t="inlineStr">
        <is>
          <t>Lead Developer</t>
        </is>
      </c>
      <c r="D5" s="44" t="inlineStr">
        <is>
          <t>light</t>
        </is>
      </c>
    </row>
    <row r="6">
      <c r="A6" s="44" t="inlineStr">
        <is>
          <t>In Review</t>
        </is>
      </c>
      <c r="B6" s="44" t="inlineStr">
        <is>
          <t>Could</t>
        </is>
      </c>
      <c r="C6" s="44" t="inlineStr">
        <is>
          <t>DSP Engineer</t>
        </is>
      </c>
      <c r="D6" s="44" t="inlineStr">
        <is>
          <t>verbose</t>
        </is>
      </c>
    </row>
    <row r="7">
      <c r="A7" s="44" t="inlineStr">
        <is>
          <t>Done</t>
        </is>
      </c>
      <c r="B7" s="44" t="inlineStr">
        <is>
          <t>Won't</t>
        </is>
      </c>
      <c r="C7" s="44" t="inlineStr">
        <is>
          <t>QA Engineer</t>
        </is>
      </c>
      <c r="D7" s="44" t="n"/>
    </row>
    <row r="8">
      <c r="A8" s="44" t="inlineStr">
        <is>
          <t>Blocked</t>
        </is>
      </c>
      <c r="B8" s="44" t="n"/>
      <c r="C8" s="44" t="inlineStr">
        <is>
          <t>Release Engineer</t>
        </is>
      </c>
      <c r="D8" s="44" t="n"/>
    </row>
    <row r="9">
      <c r="A9" s="44" t="n"/>
      <c r="B9" s="44" t="n"/>
      <c r="C9" s="44" t="inlineStr">
        <is>
          <t>Technical Writer</t>
        </is>
      </c>
      <c r="D9" s="44" t="n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2026-07-11T18:30:55Z</dcterms:created>
  <dcterms:modified xmlns:dcterms="http://purl.org/dc/terms/" xmlns:xsi="http://www.w3.org/2001/XMLSchema-instance" xsi:type="dcterms:W3CDTF">2026-07-11T19:25:08Z</dcterms:modified>
</cp:coreProperties>
</file>