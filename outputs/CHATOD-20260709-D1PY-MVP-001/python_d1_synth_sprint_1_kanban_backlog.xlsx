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5a26c4e56d446f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rint 1 Board" sheetId="1" r:id="R688bd8f910e74445"/>
    <x:sheet xmlns:r="http://schemas.openxmlformats.org/officeDocument/2006/relationships" name="Future MIDI DAW" sheetId="2" r:id="Rd54559f330b948a8"/>
    <x:sheet xmlns:r="http://schemas.openxmlformats.org/officeDocument/2006/relationships" name="Summary" sheetId="3" r:id="R46c89a6257c541f1"/>
    <x:sheet xmlns:r="http://schemas.openxmlformats.org/officeDocument/2006/relationships" name="Reference" sheetId="4" r:id="Rac9528444f55469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F2937"/>
      <x:name val="Carlito"/>
    </x:font>
    <x:font>
      <x:b/>
      <x:sz val="11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385723"/>
      </x:patternFill>
    </x:fill>
    <x:fill>
      <x:patternFill patternType="solid">
        <x:fgColor rgb="FFE2F0D9"/>
      </x:patternFill>
    </x:fill>
    <x:fill>
      <x:patternFill patternType="solid">
        <x:fgColor rgb="FF548235"/>
      </x:patternFill>
    </x:fill>
  </x:fills>
  <x:borders count="19">
    <x:border/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bottom style="thin">
        <x:color rgb="FFD9EAD3"/>
      </x:bottom>
    </x:border>
    <x:border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top style="thin">
        <x:color rgb="FFD9EAD3"/>
      </x:top>
      <x:bottom style="thin">
        <x:color rgb="FFD9EAD3"/>
      </x:bottom>
    </x:border>
    <x:border>
      <x:right style="thin">
        <x:color rgb="FFD9EAD3"/>
      </x:right>
      <x:top style="thin">
        <x:color rgb="FFD9EAD3"/>
      </x:top>
    </x:border>
    <x:border>
      <x:left style="thin">
        <x:color rgb="FFD9EAD3"/>
      </x:left>
      <x:right style="thin">
        <x:color rgb="FFD9EAD3"/>
      </x:right>
      <x:top style="thin">
        <x:color rgb="FFD9EAD3"/>
      </x:top>
    </x:border>
    <x:border>
      <x:left style="thin">
        <x:color rgb="FFD9EAD3"/>
      </x:left>
      <x:top style="thin">
        <x:color rgb="FFD9EAD3"/>
      </x:top>
    </x:border>
  </x:borders>
  <x:cellStyleXfs count="1">
    <x:xf numFmtId="0" fontId="0" fillId="0" borderId="0"/>
  </x:cellStyleXfs>
  <x:cellXfs count="4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20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20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10" xfId="0" applyNumberFormat="1" applyFont="1" applyFill="1" applyBorder="1" applyAlignment="1">
      <x:alignment wrapText="1"/>
    </x:xf>
    <x:xf numFmtId="0" fontId="3" fillId="7" borderId="11" xfId="0" applyNumberFormat="1" applyFont="1" applyFill="1" applyBorder="1" applyAlignment="1">
      <x:alignment wrapText="1"/>
    </x:xf>
    <x:xf numFmtId="0" fontId="3" fillId="7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3" fillId="4" borderId="5" xfId="0" applyNumberFormat="1" applyFont="1" applyFill="1" applyBorder="1"/>
    <x:xf numFmtId="0" fontId="0" fillId="0" borderId="5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2d3fb034ace4c39" /><Relationship Type="http://schemas.openxmlformats.org/officeDocument/2006/relationships/theme" Target="/xl/theme/theme1.xml" Id="R433d77e7e98c4dea" /><Relationship Type="http://schemas.openxmlformats.org/officeDocument/2006/relationships/sharedStrings" Target="/xl/sharedStrings.xml" Id="R0e7147209fd74622" /><Relationship Type="http://schemas.openxmlformats.org/officeDocument/2006/relationships/worksheet" Target="/xl/worksheets/sheet1.xml" Id="R688bd8f910e74445" /><Relationship Type="http://schemas.openxmlformats.org/officeDocument/2006/relationships/worksheet" Target="/xl/worksheets/sheet2.xml" Id="Rd54559f330b948a8" /><Relationship Type="http://schemas.openxmlformats.org/officeDocument/2006/relationships/worksheet" Target="/xl/worksheets/sheet3.xml" Id="R46c89a6257c541f1" /><Relationship Type="http://schemas.openxmlformats.org/officeDocument/2006/relationships/worksheet" Target="/xl/worksheets/sheet4.xml" Id="Rac9528444f554693" /></Relationships>
</file>

<file path=xl/tables/table1.xml><?xml version="1.0" encoding="utf-8"?>
<x:table xmlns:x="http://schemas.openxmlformats.org/spreadsheetml/2006/main" id="1" name="Sprint1Backlog" displayName="Sprint1Backlog" ref="A4:N22" headerRowCount="1" totalsRowCount="0" totalsRowShown="0">
  <x:autoFilter ref="A4:N22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utureMidiDawBacklog" displayName="FutureMidiDawBacklog" ref="A4:N14" headerRowCount="1" totalsRowCount="0" totalsRowShown="0">
  <x:autoFilter ref="A4:N14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193309b53214dd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fba10fb659144c6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4" hidden="0" customWidth="1"/>
    <x:col min="4" max="4" width="30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4" hidden="0" customWidth="1"/>
    <x:col min="11" max="11" width="34" hidden="0" customWidth="1"/>
    <x:col min="12" max="12" width="34" hidden="0" customWidth="1"/>
    <x:col min="13" max="13" width="34" hidden="0" customWidth="1"/>
    <x:col min="14" max="14" width="34" hidden="0" customWidth="1"/>
  </x:cols>
  <x:sheetData>
    <x:row r="1">
      <x:c r="A1" s="3" t="str">
        <x:v>python-d1-synth Sprint 1 Kanban Backlog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>
      <x:c r="A2" s="5" t="str">
        <x:v>ChatOD: CHATOD-20260709-D1PY-MVP-001 | Date: 2026-07-09 | Status: Draft for customer review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 ht="15" hidden="0" customHeight="1">
      <x:c r="A4" s="12" t="str">
        <x:v>ID</x:v>
      </x:c>
      <x:c r="B4" s="13" t="str">
        <x:v>Type</x:v>
      </x:c>
      <x:c r="C4" s="13" t="str">
        <x:v>Epic</x:v>
      </x:c>
      <x:c r="D4" s="13" t="str">
        <x:v>Title</x:v>
      </x:c>
      <x:c r="E4" s="13" t="str">
        <x:v>Status</x:v>
      </x:c>
      <x:c r="F4" s="13" t="str">
        <x:v>Priority</x:v>
      </x:c>
      <x:c r="G4" s="13" t="str">
        <x:v>Owner</x:v>
      </x:c>
      <x:c r="H4" s="13" t="str">
        <x:v>Story Points</x:v>
      </x:c>
      <x:c r="I4" s="13" t="str">
        <x:v>Sprint</x:v>
      </x:c>
      <x:c r="J4" s="13" t="str">
        <x:v>Acceptance Criteria Summary</x:v>
      </x:c>
      <x:c r="K4" s="13" t="str">
        <x:v>Red Phase Test</x:v>
      </x:c>
      <x:c r="L4" s="13" t="str">
        <x:v>Green Phase Work</x:v>
      </x:c>
      <x:c r="M4" s="13" t="str">
        <x:v>Dependencies</x:v>
      </x:c>
      <x:c r="N4" s="14" t="str">
        <x:v>Notes</x:v>
      </x:c>
    </x:row>
    <x:row r="5" ht="15" hidden="0" customHeight="1">
      <x:c r="A5" s="15" t="str">
        <x:v>US-001</x:v>
      </x:c>
      <x:c r="B5" s="16" t="str">
        <x:v>Story</x:v>
      </x:c>
      <x:c r="C5" s="16" t="str">
        <x:v>Projectbasis</x:v>
      </x:c>
      <x:c r="D5" s="16" t="str">
        <x:v>Project Skeleton</x:v>
      </x:c>
      <x:c r="E5" s="16" t="str">
        <x:v>Done</x:v>
      </x:c>
      <x:c r="F5" s="16" t="str">
        <x:v>Must</x:v>
      </x:c>
      <x:c r="G5" s="16" t="str">
        <x:v>Lead Developer</x:v>
      </x:c>
      <x:c r="H5" s="17" t="n">
        <x:v>3</x:v>
      </x:c>
      <x:c r="I5" s="16" t="str">
        <x:v>Sprint 1</x:v>
      </x:c>
      <x:c r="J5" s="16" t="str">
        <x:v>Project startbaar via CLI en VS Code debug.</x:v>
      </x:c>
      <x:c r="K5" s="16" t="str">
        <x:v>Test import/start faalt voor skeleton.</x:v>
      </x:c>
      <x:c r="L5" s="16" t="str">
        <x:v>Minimal package layout en entrypoint.</x:v>
      </x:c>
      <x:c r="M5" s="16" t="str">
        <x:v>None</x:v>
      </x:c>
      <x:c r="N5" s="18" t="str">
        <x:v>src package, pyproject en CLI skeleton gemaakt.</x:v>
      </x:c>
    </x:row>
    <x:row r="6" ht="15" hidden="0" customHeight="1">
      <x:c r="A6" s="15" t="str">
        <x:v>US-002</x:v>
      </x:c>
      <x:c r="B6" s="16" t="str">
        <x:v>Story</x:v>
      </x:c>
      <x:c r="C6" s="16" t="str">
        <x:v>Projectbasis</x:v>
      </x:c>
      <x:c r="D6" s="16" t="str">
        <x:v>Testframework</x:v>
      </x:c>
      <x:c r="E6" s="16" t="str">
        <x:v>Done</x:v>
      </x:c>
      <x:c r="F6" s="16" t="str">
        <x:v>Must</x:v>
      </x:c>
      <x:c r="G6" s="16" t="str">
        <x:v>QA Engineer</x:v>
      </x:c>
      <x:c r="H6" s="17" t="n">
        <x:v>2</x:v>
      </x:c>
      <x:c r="I6" s="16" t="str">
        <x:v>Sprint 1</x:v>
      </x:c>
      <x:c r="J6" s="16" t="str">
        <x:v>pytest start zonder importfouten.</x:v>
      </x:c>
      <x:c r="K6" s="16" t="str">
        <x:v>pytest faalt zonder tests/setup.</x:v>
      </x:c>
      <x:c r="L6" s="16" t="str">
        <x:v>pytest configuratie en eerste smoke test.</x:v>
      </x:c>
      <x:c r="M6" s="16" t="str">
        <x:v>US-001</x:v>
      </x:c>
      <x:c r="N6" s="18" t="str">
        <x:v>pytest draait groen: 9 passed.</x:v>
      </x:c>
    </x:row>
    <x:row r="7" ht="15" hidden="0" customHeight="1">
      <x:c r="A7" s="15" t="str">
        <x:v>US-003</x:v>
      </x:c>
      <x:c r="B7" s="16" t="str">
        <x:v>Story</x:v>
      </x:c>
      <x:c r="C7" s="16" t="str">
        <x:v>Projectbasis</x:v>
      </x:c>
      <x:c r="D7" s="16" t="str">
        <x:v>VS Code Debug Configuratie</x:v>
      </x:c>
      <x:c r="E7" s="16" t="str">
        <x:v>Done</x:v>
      </x:c>
      <x:c r="F7" s="16" t="str">
        <x:v>Must</x:v>
      </x:c>
      <x:c r="G7" s="16" t="str">
        <x:v>Release Engineer</x:v>
      </x:c>
      <x:c r="H7" s="17" t="n">
        <x:v>2</x:v>
      </x:c>
      <x:c r="I7" s="16" t="str">
        <x:v>Sprint 1</x:v>
      </x:c>
      <x:c r="J7" s="16" t="str">
        <x:v>CLI command debugbaar in VS Code.</x:v>
      </x:c>
      <x:c r="K7" s="16" t="str">
        <x:v>Debug config ontbreekt.</x:v>
      </x:c>
      <x:c r="L7" s="16" t="str">
        <x:v>launch.json met play/render voorbeelden.</x:v>
      </x:c>
      <x:c r="M7" s="16" t="str">
        <x:v>US-001</x:v>
      </x:c>
      <x:c r="N7" s="18" t="str">
        <x:v>launch.json en settings.json toegevoegd.</x:v>
      </x:c>
    </x:row>
    <x:row r="8" ht="15" hidden="0" customHeight="1">
      <x:c r="A8" s="15" t="str">
        <x:v>US-004</x:v>
      </x:c>
      <x:c r="B8" s="16" t="str">
        <x:v>Story</x:v>
      </x:c>
      <x:c r="C8" s="16" t="str">
        <x:v>Muzikale Basisdata</x:v>
      </x:c>
      <x:c r="D8" s="16" t="str">
        <x:v>Note Parsing</x:v>
      </x:c>
      <x:c r="E8" s="16" t="str">
        <x:v>Done</x:v>
      </x:c>
      <x:c r="F8" s="16" t="str">
        <x:v>Must</x:v>
      </x:c>
      <x:c r="G8" s="16" t="str">
        <x:v>Lead Developer</x:v>
      </x:c>
      <x:c r="H8" s="17" t="n">
        <x:v>3</x:v>
      </x:c>
      <x:c r="I8" s="16" t="str">
        <x:v>Sprint 1</x:v>
      </x:c>
      <x:c r="J8" s="16" t="str">
        <x:v>C3 en A4 worden correct naar frequentie gemapt.</x:v>
      </x:c>
      <x:c r="K8" s="16" t="str">
        <x:v>C3/A4 tests falen.</x:v>
      </x:c>
      <x:c r="L8" s="16" t="str">
        <x:v>NoteParser class met validatie.</x:v>
      </x:c>
      <x:c r="M8" s="16" t="str">
        <x:v>US-001, US-002</x:v>
      </x:c>
      <x:c r="N8" s="18" t="str">
        <x:v>pytest dekt A4 en C3 frequenties.</x:v>
      </x:c>
    </x:row>
    <x:row r="9" ht="15" hidden="0" customHeight="1">
      <x:c r="A9" s="15" t="str">
        <x:v>US-005</x:v>
      </x:c>
      <x:c r="B9" s="16" t="str">
        <x:v>Story</x:v>
      </x:c>
      <x:c r="C9" s="16" t="str">
        <x:v>Muzikale Basisdata</x:v>
      </x:c>
      <x:c r="D9" s="16" t="str">
        <x:v>Testsequence Parsing</x:v>
      </x:c>
      <x:c r="E9" s="16" t="str">
        <x:v>Done</x:v>
      </x:c>
      <x:c r="F9" s="16" t="str">
        <x:v>Must</x:v>
      </x:c>
      <x:c r="G9" s="16" t="str">
        <x:v>Lead Developer</x:v>
      </x:c>
      <x:c r="H9" s="17" t="n">
        <x:v>3</x:v>
      </x:c>
      <x:c r="I9" s="16" t="str">
        <x:v>Sprint 1</x:v>
      </x:c>
      <x:c r="J9" s="16" t="str">
        <x:v>ACGD wordt A3 C4 G3 D4.</x:v>
      </x:c>
      <x:c r="K9" s="16" t="str">
        <x:v>Sequence parser test faalt.</x:v>
      </x:c>
      <x:c r="L9" s="16" t="str">
        <x:v>NoteSequence parser met defaults.</x:v>
      </x:c>
      <x:c r="M9" s="16" t="str">
        <x:v>US-004</x:v>
      </x:c>
      <x:c r="N9" s="18" t="str">
        <x:v>pytest dekt ACGD default octaves.</x:v>
      </x:c>
    </x:row>
    <x:row r="10" ht="15" hidden="0" customHeight="1">
      <x:c r="A10" s="15" t="str">
        <x:v>US-006</x:v>
      </x:c>
      <x:c r="B10" s="16" t="str">
        <x:v>Story</x:v>
      </x:c>
      <x:c r="C10" s="16" t="str">
        <x:v>Muzikale Basisdata</x:v>
      </x:c>
      <x:c r="D10" s="16" t="str">
        <x:v>NoteEvent En NoteSequence Model</x:v>
      </x:c>
      <x:c r="E10" s="16" t="str">
        <x:v>Done</x:v>
      </x:c>
      <x:c r="F10" s="16" t="str">
        <x:v>Must</x:v>
      </x:c>
      <x:c r="G10" s="16" t="str">
        <x:v>DSP Engineer</x:v>
      </x:c>
      <x:c r="H10" s="17" t="n">
        <x:v>3</x:v>
      </x:c>
      <x:c r="I10" s="16" t="str">
        <x:v>Sprint 1</x:v>
      </x:c>
      <x:c r="J10" s="16" t="str">
        <x:v>Intern eventmodel ondersteunt note, duration, velocity, timing en traceerbare code-docstrings.</x:v>
      </x:c>
      <x:c r="K10" s="16" t="str">
        <x:v>Modelvalidatie en traceability tests falen.</x:v>
      </x:c>
      <x:c r="L10" s="16" t="str">
        <x:v>NoteEvent validatie, NoteSequence tuple-normalisatie en code traceability.</x:v>
      </x:c>
      <x:c r="M10" s="16" t="str">
        <x:v>US-004</x:v>
      </x:c>
      <x:c r="N10" s="18" t="str">
        <x:v>pytest groen: duration, velocity, timing, volgorde en traceability afgedekt.</x:v>
      </x:c>
    </x:row>
    <x:row r="11" ht="15" hidden="0" customHeight="1">
      <x:c r="A11" s="15" t="str">
        <x:v>US-007</x:v>
      </x:c>
      <x:c r="B11" s="16" t="str">
        <x:v>Story</x:v>
      </x:c>
      <x:c r="C11" s="16" t="str">
        <x:v>Oscillator En Audio Rendering</x:v>
      </x:c>
      <x:c r="D11" s="16" t="str">
        <x:v>Sine Oscillator</x:v>
      </x:c>
      <x:c r="E11" s="16" t="str">
        <x:v>Done</x:v>
      </x:c>
      <x:c r="F11" s="16" t="str">
        <x:v>Must</x:v>
      </x:c>
      <x:c r="G11" s="16" t="str">
        <x:v>DSP Engineer</x:v>
      </x:c>
      <x:c r="H11" s="17" t="n">
        <x:v>5</x:v>
      </x:c>
      <x:c r="I11" s="16" t="str">
        <x:v>Sprint 1</x:v>
      </x:c>
      <x:c r="J11" s="16" t="str">
        <x:v>Sine samples hebben juiste lengte en amplitude.</x:v>
      </x:c>
      <x:c r="K11" s="16" t="str">
        <x:v>Sample count/amplitude tests falen.</x:v>
      </x:c>
      <x:c r="L11" s="16" t="str">
        <x:v>SineOscillator class met numpy.</x:v>
      </x:c>
      <x:c r="M11" s="16" t="str">
        <x:v>US-006</x:v>
      </x:c>
      <x:c r="N11" s="18" t="str">
        <x:v>pytest dekt sample count en amplitude.</x:v>
      </x:c>
    </x:row>
    <x:row r="12" ht="15" hidden="0" customHeight="1">
      <x:c r="A12" s="15" t="str">
        <x:v>US-008</x:v>
      </x:c>
      <x:c r="B12" s="16" t="str">
        <x:v>Story</x:v>
      </x:c>
      <x:c r="C12" s="16" t="str">
        <x:v>Oscillator En Audio Rendering</x:v>
      </x:c>
      <x:c r="D12" s="16" t="str">
        <x:v>Saw Oscillator</x:v>
      </x:c>
      <x:c r="E12" s="16" t="str">
        <x:v>Done</x:v>
      </x:c>
      <x:c r="F12" s="16" t="str">
        <x:v>Should</x:v>
      </x:c>
      <x:c r="G12" s="16" t="str">
        <x:v>DSP Engineer</x:v>
      </x:c>
      <x:c r="H12" s="17" t="n">
        <x:v>3</x:v>
      </x:c>
      <x:c r="I12" s="16" t="str">
        <x:v>Sprint 1</x:v>
      </x:c>
      <x:c r="J12" s="16" t="str">
        <x:v>Saw samples hebben juiste lengte, amplitude en ramp-niveaus met traceerbare code-docstrings.</x:v>
      </x:c>
      <x:c r="K12" s="16" t="str">
        <x:v>Saw oscillator en traceability tests falen.</x:v>
      </x:c>
      <x:c r="L12" s="16" t="str">
        <x:v>Oscillator ondersteunt saw met meerdere ramp-niveaus binnen amplitude.</x:v>
      </x:c>
      <x:c r="M12" s="16" t="str">
        <x:v>US-007</x:v>
      </x:c>
      <x:c r="N12" s="18" t="str">
        <x:v>pytest groen: saw count, amplitude, ramp levels en traceability afgedekt.</x:v>
      </x:c>
    </x:row>
    <x:row r="13" ht="15" hidden="0" customHeight="1">
      <x:c r="A13" s="15" t="str">
        <x:v>US-009</x:v>
      </x:c>
      <x:c r="B13" s="16" t="str">
        <x:v>Story</x:v>
      </x:c>
      <x:c r="C13" s="16" t="str">
        <x:v>Oscillator En Audio Rendering</x:v>
      </x:c>
      <x:c r="D13" s="16" t="str">
        <x:v>Square Oscillator</x:v>
      </x:c>
      <x:c r="E13" s="16" t="str">
        <x:v>Done</x:v>
      </x:c>
      <x:c r="F13" s="16" t="str">
        <x:v>Should</x:v>
      </x:c>
      <x:c r="G13" s="16" t="str">
        <x:v>DSP Engineer</x:v>
      </x:c>
      <x:c r="H13" s="17" t="n">
        <x:v>3</x:v>
      </x:c>
      <x:c r="I13" s="16" t="str">
        <x:v>Sprint 1</x:v>
      </x:c>
      <x:c r="J13" s="16" t="str">
        <x:v>Square samples hebben juiste lengte, amplitude en discrete niveaus met traceerbare code-docstrings.</x:v>
      </x:c>
      <x:c r="K13" s="16" t="str">
        <x:v>Square oscillator en traceability tests falen.</x:v>
      </x:c>
      <x:c r="L13" s="16" t="str">
        <x:v>Oscillator ondersteunt square met discrete -amplitude/+amplitude output.</x:v>
      </x:c>
      <x:c r="M13" s="16" t="str">
        <x:v>US-007</x:v>
      </x:c>
      <x:c r="N13" s="18" t="str">
        <x:v>pytest groen: square count, amplitude, levels en traceability afgedekt.</x:v>
      </x:c>
    </x:row>
    <x:row r="14" ht="15" hidden="0" customHeight="1">
      <x:c r="A14" s="15" t="str">
        <x:v>US-010</x:v>
      </x:c>
      <x:c r="B14" s="16" t="str">
        <x:v>Story</x:v>
      </x:c>
      <x:c r="C14" s="16" t="str">
        <x:v>Oscillator En Audio Rendering</x:v>
      </x:c>
      <x:c r="D14" s="16" t="str">
        <x:v>WAV Export</x:v>
      </x:c>
      <x:c r="E14" s="16" t="str">
        <x:v>Done</x:v>
      </x:c>
      <x:c r="F14" s="16" t="str">
        <x:v>Must</x:v>
      </x:c>
      <x:c r="G14" s="16" t="str">
        <x:v>Lead Developer</x:v>
      </x:c>
      <x:c r="H14" s="17" t="n">
        <x:v>5</x:v>
      </x:c>
      <x:c r="I14" s="16" t="str">
        <x:v>Sprint 1</x:v>
      </x:c>
      <x:c r="J14" s="16" t="str">
        <x:v>Render command schrijft stereo WAV op 44100 Hz.</x:v>
      </x:c>
      <x:c r="K14" s="16" t="str">
        <x:v>WAV bestandsinspectie faalt.</x:v>
      </x:c>
      <x:c r="L14" s="16" t="str">
        <x:v>WaveWriter class met standaard wave module.</x:v>
      </x:c>
      <x:c r="M14" s="16" t="str">
        <x:v>US-007</x:v>
      </x:c>
      <x:c r="N14" s="18" t="str">
        <x:v>CLI render maakte outputs/demo.wav met 2 kanalen, 44100 Hz, 44100 frames.</x:v>
      </x:c>
    </x:row>
    <x:row r="15" ht="15" hidden="0" customHeight="1">
      <x:c r="A15" s="15" t="str">
        <x:v>US-011</x:v>
      </x:c>
      <x:c r="B15" s="16" t="str">
        <x:v>Story</x:v>
      </x:c>
      <x:c r="C15" s="16" t="str">
        <x:v>Realtime CLI Playback</x:v>
      </x:c>
      <x:c r="D15" s="16" t="str">
        <x:v>Play Single Note</x:v>
      </x:c>
      <x:c r="E15" s="16" t="str">
        <x:v>Done</x:v>
      </x:c>
      <x:c r="F15" s="16" t="str">
        <x:v>Must</x:v>
      </x:c>
      <x:c r="G15" s="16" t="str">
        <x:v>Lead Developer</x:v>
      </x:c>
      <x:c r="H15" s="17" t="n">
        <x:v>5</x:v>
      </x:c>
      <x:c r="I15" s="16" t="str">
        <x:v>Sprint 1</x:v>
      </x:c>
      <x:c r="J15" s="16" t="str">
        <x:v>play --note C3 maakt hoorbaar geluid en kan --audio-device gebruiken.</x:v>
      </x:c>
      <x:c r="K15" s="16" t="str">
        <x:v>Audio output adapter en CLI parsing tests falen.</x:v>
      </x:c>
      <x:c r="L15" s="16" t="str">
        <x:v>sounddevice adapter, audio list-devices, --audio-device en Scarlett testdocs.</x:v>
      </x:c>
      <x:c r="M15" s="16" t="str">
        <x:v>US-007</x:v>
      </x:c>
      <x:c r="N15" s="18" t="str">
        <x:v>Klanttest geslaagd: hoorbaar geluid via Scarlett 8i6 USB.</x:v>
      </x:c>
    </x:row>
    <x:row r="16" ht="15" hidden="0" customHeight="1">
      <x:c r="A16" s="15" t="str">
        <x:v>US-012</x:v>
      </x:c>
      <x:c r="B16" s="16" t="str">
        <x:v>Story</x:v>
      </x:c>
      <x:c r="C16" s="16" t="str">
        <x:v>Realtime CLI Playback</x:v>
      </x:c>
      <x:c r="D16" s="16" t="str">
        <x:v>Play Testsequence</x:v>
      </x:c>
      <x:c r="E16" s="16" t="str">
        <x:v>Done</x:v>
      </x:c>
      <x:c r="F16" s="16" t="str">
        <x:v>Must</x:v>
      </x:c>
      <x:c r="G16" s="16" t="str">
        <x:v>Lead Developer</x:v>
      </x:c>
      <x:c r="H16" s="17" t="n">
        <x:v>3</x:v>
      </x:c>
      <x:c r="I16" s="16" t="str">
        <x:v>Sprint 1</x:v>
      </x:c>
      <x:c r="J16" s="16" t="str">
        <x:v>play --testsequence ACGD speelt vier noten en ondersteunt --audio-device.</x:v>
      </x:c>
      <x:c r="K16" s="16" t="str">
        <x:v>Sequence playback test faalt.</x:v>
      </x:c>
      <x:c r="L16" s="16" t="str">
        <x:v>Playback engine voor NoteSequence plus CLI verbose eventdiagnose.</x:v>
      </x:c>
      <x:c r="M16" s="16" t="str">
        <x:v>US-005, US-011</x:v>
      </x:c>
      <x:c r="N16" s="18" t="str">
        <x:v>Klanttest geslaagd: ACGD sequence hoorbaar via Scarlett 8i6 USB.</x:v>
      </x:c>
    </x:row>
    <x:row r="17" ht="15" hidden="0" customHeight="1">
      <x:c r="A17" s="15" t="str">
        <x:v>US-013</x:v>
      </x:c>
      <x:c r="B17" s="16" t="str">
        <x:v>Story</x:v>
      </x:c>
      <x:c r="C17" s="16" t="str">
        <x:v>Realtime CLI Playback</x:v>
      </x:c>
      <x:c r="D17" s="16" t="str">
        <x:v>Channel Selection</x:v>
      </x:c>
      <x:c r="E17" s="16" t="str">
        <x:v>Done</x:v>
      </x:c>
      <x:c r="F17" s="16" t="str">
        <x:v>Must</x:v>
      </x:c>
      <x:c r="G17" s="16" t="str">
        <x:v>QA Engineer</x:v>
      </x:c>
      <x:c r="H17" s="17" t="n">
        <x:v>3</x:v>
      </x:c>
      <x:c r="I17" s="16" t="str">
        <x:v>Sprint 1</x:v>
      </x:c>
      <x:c r="J17" s="16" t="str">
        <x:v>stereo/left/right kanaalrouting werkt met traceerbare code-docstrings.</x:v>
      </x:c>
      <x:c r="K17" s="16" t="str">
        <x:v>Kanaalrouting en traceability tests falen.</x:v>
      </x:c>
      <x:c r="L17" s="16" t="str">
        <x:v>ChannelRouter, SynthEngine en CLI tests voor stereo/left/right plus code traceability.</x:v>
      </x:c>
      <x:c r="M17" s="16" t="str">
        <x:v>US-010, US-011</x:v>
      </x:c>
      <x:c r="N17" s="18" t="str">
        <x:v>Klanttest geslaagd: stereo, left en right hoorbaar via Scarlett 8i6 USB.</x:v>
      </x:c>
    </x:row>
    <x:row r="18" ht="15" hidden="0" customHeight="1">
      <x:c r="A18" s="15" t="str">
        <x:v>US-014</x:v>
      </x:c>
      <x:c r="B18" s="16" t="str">
        <x:v>Story</x:v>
      </x:c>
      <x:c r="C18" s="16" t="str">
        <x:v>Configuratie En CLI</x:v>
      </x:c>
      <x:c r="D18" s="16" t="str">
        <x:v>YAML Patch Config</x:v>
      </x:c>
      <x:c r="E18" s="16" t="str">
        <x:v>Done</x:v>
      </x:c>
      <x:c r="F18" s="16" t="str">
        <x:v>Must</x:v>
      </x:c>
      <x:c r="G18" s="16" t="str">
        <x:v>Lead Developer</x:v>
      </x:c>
      <x:c r="H18" s="17" t="n">
        <x:v>3</x:v>
      </x:c>
      <x:c r="I18" s="16" t="str">
        <x:v>Sprint 1</x:v>
      </x:c>
      <x:c r="J18" s="16" t="str">
        <x:v>Patch YAML laadt oscillator, duration, sample_rate en channel.</x:v>
      </x:c>
      <x:c r="K18" s="16" t="str">
        <x:v>Patch loader tests falen.</x:v>
      </x:c>
      <x:c r="L18" s="16" t="str">
        <x:v>PatchConfig class en loader.</x:v>
      </x:c>
      <x:c r="M18" s="16" t="str">
        <x:v>US-007</x:v>
      </x:c>
      <x:c r="N18" s="18" t="str">
        <x:v>PyYAML loader, example patch en config test toegevoegd.</x:v>
      </x:c>
    </x:row>
    <x:row r="19" ht="15" hidden="0" customHeight="1">
      <x:c r="A19" s="15" t="str">
        <x:v>US-015</x:v>
      </x:c>
      <x:c r="B19" s="16" t="str">
        <x:v>Story</x:v>
      </x:c>
      <x:c r="C19" s="16" t="str">
        <x:v>Configuratie En CLI</x:v>
      </x:c>
      <x:c r="D19" s="16" t="str">
        <x:v>Render Command</x:v>
      </x:c>
      <x:c r="E19" s="16" t="str">
        <x:v>Done</x:v>
      </x:c>
      <x:c r="F19" s="16" t="str">
        <x:v>Must</x:v>
      </x:c>
      <x:c r="G19" s="16" t="str">
        <x:v>Lead Developer</x:v>
      </x:c>
      <x:c r="H19" s="17" t="n">
        <x:v>3</x:v>
      </x:c>
      <x:c r="I19" s="16" t="str">
        <x:v>Sprint 1</x:v>
      </x:c>
      <x:c r="J19" s="16" t="str">
        <x:v>render patch.yaml --output demo.wav schrijft WAV.</x:v>
      </x:c>
      <x:c r="K19" s="16" t="str">
        <x:v>CLI render test faalt.</x:v>
      </x:c>
      <x:c r="L19" s="16" t="str">
        <x:v>argparse command en render workflow.</x:v>
      </x:c>
      <x:c r="M19" s="16" t="str">
        <x:v>US-010, US-014</x:v>
      </x:c>
      <x:c r="N19" s="18" t="str">
        <x:v>CLI render succesvol geverifieerd.</x:v>
      </x:c>
    </x:row>
    <x:row r="20" ht="15" hidden="0" customHeight="1">
      <x:c r="A20" s="15" t="str">
        <x:v>US-016</x:v>
      </x:c>
      <x:c r="B20" s="16" t="str">
        <x:v>Story</x:v>
      </x:c>
      <x:c r="C20" s="16" t="str">
        <x:v>Configuratie En CLI</x:v>
      </x:c>
      <x:c r="D20" s="16" t="str">
        <x:v>Debuglevel</x:v>
      </x:c>
      <x:c r="E20" s="16" t="str">
        <x:v>Done</x:v>
      </x:c>
      <x:c r="F20" s="16" t="str">
        <x:v>Should</x:v>
      </x:c>
      <x:c r="G20" s="16" t="str">
        <x:v>QA Engineer</x:v>
      </x:c>
      <x:c r="H20" s="17" t="n">
        <x:v>2</x:v>
      </x:c>
      <x:c r="I20" s="16" t="str">
        <x:v>Sprint 1</x:v>
      </x:c>
      <x:c r="J20" s="16" t="str">
        <x:v>none/light/verbose tonen juiste hoeveelheid output met traceerbare code-docstrings.</x:v>
      </x:c>
      <x:c r="K20" s="16" t="str">
        <x:v>DebugReporter, CLI output en traceability tests falen.</x:v>
      </x:c>
      <x:c r="L20" s="16" t="str">
        <x:v>DebugLevel, DebugReporter en CLI output tests voor none/light/verbose.</x:v>
      </x:c>
      <x:c r="M20" s="16" t="str">
        <x:v>US-011, US-015</x:v>
      </x:c>
      <x:c r="N20" s="18" t="str">
        <x:v>pytest groen: none onderdrukt status, light toont hoofdacties, verbose toont technische details.</x:v>
      </x:c>
    </x:row>
    <x:row r="21" ht="15" hidden="0" customHeight="1">
      <x:c r="A21" s="15" t="str">
        <x:v>US-017</x:v>
      </x:c>
      <x:c r="B21" s="16" t="str">
        <x:v>Story</x:v>
      </x:c>
      <x:c r="C21" s="16" t="str">
        <x:v>Documentatie En Governance</x:v>
      </x:c>
      <x:c r="D21" s="16" t="str">
        <x:v>README Startinstructies</x:v>
      </x:c>
      <x:c r="E21" s="16" t="str">
        <x:v>Done</x:v>
      </x:c>
      <x:c r="F21" s="16" t="str">
        <x:v>Must</x:v>
      </x:c>
      <x:c r="G21" s="16" t="str">
        <x:v>Technical Writer</x:v>
      </x:c>
      <x:c r="H21" s="17" t="n">
        <x:v>2</x:v>
      </x:c>
      <x:c r="I21" s="16" t="str">
        <x:v>Sprint 1</x:v>
      </x:c>
      <x:c r="J21" s="16" t="str">
        <x:v>README beschrijft setup, test, play, render en debug.</x:v>
      </x:c>
      <x:c r="K21" s="16" t="str">
        <x:v>Docs review checklist faalt.</x:v>
      </x:c>
      <x:c r="L21" s="16" t="str">
        <x:v>README update na skeleton.</x:v>
      </x:c>
      <x:c r="M21" s="16" t="str">
        <x:v>US-001</x:v>
      </x:c>
      <x:c r="N21" s="18" t="str">
        <x:v>README bijgewerkt met venv, CLI, tests en VS Code.</x:v>
      </x:c>
    </x:row>
    <x:row r="22" ht="15" hidden="0" customHeight="1">
      <x:c r="A22" s="19" t="str">
        <x:v>US-018</x:v>
      </x:c>
      <x:c r="B22" s="20" t="str">
        <x:v>Story</x:v>
      </x:c>
      <x:c r="C22" s="20" t="str">
        <x:v>Documentatie En Governance</x:v>
      </x:c>
      <x:c r="D22" s="20" t="str">
        <x:v>Agile Artefacts</x:v>
      </x:c>
      <x:c r="E22" s="20" t="str">
        <x:v>Done</x:v>
      </x:c>
      <x:c r="F22" s="20" t="str">
        <x:v>Must</x:v>
      </x:c>
      <x:c r="G22" s="20" t="str">
        <x:v>Product Owner</x:v>
      </x:c>
      <x:c r="H22" s="21" t="n">
        <x:v>2</x:v>
      </x:c>
      <x:c r="I22" s="20" t="str">
        <x:v>Sprint 0</x:v>
      </x:c>
      <x:c r="J22" s="20" t="str">
        <x:v>Scope, stories, criteria en Kanban workbook bestaan.</x:v>
      </x:c>
      <x:c r="K22" s="20" t="str">
        <x:v>Artefact checklist faalt.</x:v>
      </x:c>
      <x:c r="L22" s="20" t="str">
        <x:v>Markdown docs en Excel Kanban genereren.</x:v>
      </x:c>
      <x:c r="M22" s="20" t="str">
        <x:v>None</x:v>
      </x:c>
      <x:c r="N22" s="22" t="str">
        <x:v>Artefacts en workbook bijgewerkt.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193309b53214dd3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8" hidden="0" customWidth="1"/>
    <x:col min="4" max="4" width="34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6" hidden="0" customWidth="1"/>
    <x:col min="11" max="11" width="36" hidden="0" customWidth="1"/>
    <x:col min="12" max="12" width="36" hidden="0" customWidth="1"/>
    <x:col min="13" max="13" width="36" hidden="0" customWidth="1"/>
    <x:col min="14" max="14" width="36" hidden="0" customWidth="1"/>
  </x:cols>
  <x:sheetData>
    <x:row r="1">
      <x:c r="A1" s="25" t="str">
        <x:v>python-d1-synth Future MIDI/DAW Backlog</x:v>
      </x:c>
      <x:c r="B1" s="25"/>
      <x:c r="C1" s="25"/>
      <x:c r="D1" s="25"/>
      <x:c r="E1" s="25"/>
      <x:c r="F1" s="25"/>
      <x:c r="G1" s="25"/>
      <x:c r="H1" s="25"/>
      <x:c r="I1" s="25"/>
      <x:c r="J1" s="25"/>
      <x:c r="K1" s="25"/>
      <x:c r="L1" s="25"/>
      <x:c r="M1" s="25"/>
      <x:c r="N1" s="25"/>
    </x:row>
    <x:row r="2">
      <x:c r="A2" s="28" t="str">
        <x:v>Scope mutation: Logic Pro 12.3, other DAWs, generic USB MIDI, external MIDI, RaspiMidiHub, physical MIDI hub, MiniFreak, Arturia KeyLab Mk3, Fishman TriplePlay, M-Vave</x:v>
      </x:c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</x:row>
    <x:row r="4" ht="15" hidden="0" customHeight="1">
      <x:c r="A4" s="32" t="str">
        <x:v>ID</x:v>
      </x:c>
      <x:c r="B4" s="33" t="str">
        <x:v>Type</x:v>
      </x:c>
      <x:c r="C4" s="33" t="str">
        <x:v>Epic</x:v>
      </x:c>
      <x:c r="D4" s="33" t="str">
        <x:v>Title</x:v>
      </x:c>
      <x:c r="E4" s="33" t="str">
        <x:v>Status</x:v>
      </x:c>
      <x:c r="F4" s="33" t="str">
        <x:v>Priority</x:v>
      </x:c>
      <x:c r="G4" s="33" t="str">
        <x:v>Owner</x:v>
      </x:c>
      <x:c r="H4" s="33" t="str">
        <x:v>Story Points</x:v>
      </x:c>
      <x:c r="I4" s="33" t="str">
        <x:v>Sprint</x:v>
      </x:c>
      <x:c r="J4" s="33" t="str">
        <x:v>Acceptance Criteria Summary</x:v>
      </x:c>
      <x:c r="K4" s="33" t="str">
        <x:v>Red Phase Test</x:v>
      </x:c>
      <x:c r="L4" s="33" t="str">
        <x:v>Green Phase Work</x:v>
      </x:c>
      <x:c r="M4" s="33" t="str">
        <x:v>Dependencies</x:v>
      </x:c>
      <x:c r="N4" s="34" t="str">
        <x:v>Notes</x:v>
      </x:c>
    </x:row>
    <x:row r="5" ht="15" hidden="0" customHeight="1">
      <x:c r="A5" s="35" t="str">
        <x:v>US-019</x:v>
      </x:c>
      <x:c r="B5" s="36" t="str">
        <x:v>Story</x:v>
      </x:c>
      <x:c r="C5" s="36" t="str">
        <x:v>Future MIDI En DAW Integratie</x:v>
      </x:c>
      <x:c r="D5" s="36" t="str">
        <x:v>MIDI Leerpad En Terminologie</x:v>
      </x:c>
      <x:c r="E5" s="36" t="str">
        <x:v>Done</x:v>
      </x:c>
      <x:c r="F5" s="36" t="str">
        <x:v>Must</x:v>
      </x:c>
      <x:c r="G5" s="36" t="str">
        <x:v>Product Owner</x:v>
      </x:c>
      <x:c r="H5" s="37" t="n">
        <x:v>2</x:v>
      </x:c>
      <x:c r="I5" s="36" t="str">
        <x:v>Future</x:v>
      </x:c>
      <x:c r="J5" s="36" t="str">
        <x:v>Klant begrijpt note on/off, note number, channel, velocity, MIDI clock en pitch bend.</x:v>
      </x:c>
      <x:c r="K5" s="36" t="str">
        <x:v>Docs ontbreken voor MIDI basisbegrippen.</x:v>
      </x:c>
      <x:c r="L5" s="36" t="str">
        <x:v>MIDI concept guide en glossary met NoteEvent mapping.</x:v>
      </x:c>
      <x:c r="M5" s="36" t="str">
        <x:v>US-006</x:v>
      </x:c>
      <x:c r="N5" s="38" t="str">
        <x:v>docs/midi_learning_path_v0.1.0.md en pytest docs-check groen.</x:v>
      </x:c>
    </x:row>
    <x:row r="6" ht="15" hidden="0" customHeight="1">
      <x:c r="A6" s="35" t="str">
        <x:v>US-020</x:v>
      </x:c>
      <x:c r="B6" s="36" t="str">
        <x:v>Story</x:v>
      </x:c>
      <x:c r="C6" s="36" t="str">
        <x:v>Future MIDI En DAW Integratie</x:v>
      </x:c>
      <x:c r="D6" s="36" t="str">
        <x:v>Virtual MIDI Input Voor DAW</x:v>
      </x:c>
      <x:c r="E6" s="36" t="str">
        <x:v>Done</x:v>
      </x:c>
      <x:c r="F6" s="36" t="str">
        <x:v>Must</x:v>
      </x:c>
      <x:c r="G6" s="36" t="str">
        <x:v>Lead Developer</x:v>
      </x:c>
      <x:c r="H6" s="37" t="n">
        <x:v>5</x:v>
      </x:c>
      <x:c r="I6" s="36" t="str">
        <x:v>Future</x:v>
      </x:c>
      <x:c r="J6" s="36" t="str">
        <x:v>Logic Pro 12.3 of andere DAW heeft veilige virtual MIDI input voorbereiding en note-event mapping.</x:v>
      </x:c>
      <x:c r="K6" s="36" t="str">
        <x:v>Virtual MIDI adapter, CLI diagnose en traceability tests falen.</x:v>
      </x:c>
      <x:c r="L6" s="36" t="str">
        <x:v>VirtualMidiInputAdapter, MidiMessage en midi diagnose-virtual-input.</x:v>
      </x:c>
      <x:c r="M6" s="36" t="str">
        <x:v>US-006, US-019</x:v>
      </x:c>
      <x:c r="N6" s="38" t="str">
        <x:v>pytest groen: note on/off mapping, velocity zero note-off, CLI diagnose en traceability.</x:v>
      </x:c>
    </x:row>
    <x:row r="7" ht="15" hidden="0" customHeight="1">
      <x:c r="A7" s="35" t="str">
        <x:v>US-021</x:v>
      </x:c>
      <x:c r="B7" s="36" t="str">
        <x:v>Story</x:v>
      </x:c>
      <x:c r="C7" s="36" t="str">
        <x:v>Future MIDI En DAW Integratie</x:v>
      </x:c>
      <x:c r="D7" s="36" t="str">
        <x:v>External MIDI Workflow In Logic</x:v>
      </x:c>
      <x:c r="E7" s="36" t="str">
        <x:v>Done</x:v>
      </x:c>
      <x:c r="F7" s="36" t="str">
        <x:v>Should</x:v>
      </x:c>
      <x:c r="G7" s="36" t="str">
        <x:v>Release Engineer</x:v>
      </x:c>
      <x:c r="H7" s="37" t="n">
        <x:v>3</x:v>
      </x:c>
      <x:c r="I7" s="36" t="str">
        <x:v>Future</x:v>
      </x:c>
      <x:c r="J7" s="36" t="str">
        <x:v>External MIDI workflow in Logic is reproduceerbaar beschreven en klanttest is vastgelegd.</x:v>
      </x:c>
      <x:c r="K7" s="36" t="str">
        <x:v>Logic external MIDI setup test faalt of ontbreekt.</x:v>
      </x:c>
      <x:c r="L7" s="36" t="str">
        <x:v>Logic/IAC workflowdoc en handmatige testresultaatregistratie.</x:v>
      </x:c>
      <x:c r="M7" s="36" t="str">
        <x:v>US-020</x:v>
      </x:c>
      <x:c r="N7" s="38" t="str">
        <x:v>Klanttest geslaagd: IAC route zichtbaar, Python diagnose OK, geen geluid verwacht in US-021.</x:v>
      </x:c>
    </x:row>
    <x:row r="8" ht="15" hidden="0" customHeight="1">
      <x:c r="A8" s="35" t="str">
        <x:v>US-022</x:v>
      </x:c>
      <x:c r="B8" s="36" t="str">
        <x:v>Story</x:v>
      </x:c>
      <x:c r="C8" s="36" t="str">
        <x:v>Future MIDI En DAW Integratie</x:v>
      </x:c>
      <x:c r="D8" s="36" t="str">
        <x:v>USB MIDI Hardware Input</x:v>
      </x:c>
      <x:c r="E8" s="36" t="str">
        <x:v>Done</x:v>
      </x:c>
      <x:c r="F8" s="36" t="str">
        <x:v>Must</x:v>
      </x:c>
      <x:c r="G8" s="36" t="str">
        <x:v>Lead Developer</x:v>
      </x:c>
      <x:c r="H8" s="37" t="n">
        <x:v>5</x:v>
      </x:c>
      <x:c r="I8" s="36" t="str">
        <x:v>Future</x:v>
      </x:c>
      <x:c r="J8" s="36" t="str">
        <x:v>Generieke USB MIDI inputdiagnose werkt na list-devices en expliciete device/default keuze.</x:v>
      </x:c>
      <x:c r="K8" s="36" t="str">
        <x:v>Hardware MIDI test faalt wanneer Python geen devices scant terwijl Logic devices toont.</x:v>
      </x:c>
      <x:c r="L8" s="36" t="str">
        <x:v>Backenddetails, BLOCKER output en tests/test_hardware_midi.py voor echte device scan.</x:v>
      </x:c>
      <x:c r="M8" s="36" t="str">
        <x:v>US-019, US-024</x:v>
      </x:c>
      <x:c r="N8" s="38" t="str">
        <x:v>Klanttest geslaagd op KodeklopperM4: MIDI input/output devices gelist, inclusief Scarlett 8i6 USB, SMK-37 Pro_BLE en SN76489 CircuitPython ESP32 S2.</x:v>
      </x:c>
    </x:row>
    <x:row r="9" ht="15" hidden="0" customHeight="1">
      <x:c r="A9" s="35" t="str">
        <x:v>US-023</x:v>
      </x:c>
      <x:c r="B9" s="36" t="str">
        <x:v>Story</x:v>
      </x:c>
      <x:c r="C9" s="36" t="str">
        <x:v>Future MIDI En DAW Integratie</x:v>
      </x:c>
      <x:c r="D9" s="36" t="str">
        <x:v>Studio MIDI Routing Integratietest</x:v>
      </x:c>
      <x:c r="E9" s="36" t="str">
        <x:v>Done</x:v>
      </x:c>
      <x:c r="F9" s="36" t="str">
        <x:v>Should</x:v>
      </x:c>
      <x:c r="G9" s="36" t="str">
        <x:v>QA Engineer</x:v>
      </x:c>
      <x:c r="H9" s="37" t="n">
        <x:v>3</x:v>
      </x:c>
      <x:c r="I9" s="36" t="str">
        <x:v>Future</x:v>
      </x:c>
      <x:c r="J9" s="36" t="str">
        <x:v>Testmatrix dekt DAW bus, USB MIDI, controllers, guitar MIDI, synth hardware, CircuitPython/ESP32, Windows en Raspberry Pi.</x:v>
      </x:c>
      <x:c r="K9" s="36" t="str">
        <x:v>Integratietestplan ontbreekt.</x:v>
      </x:c>
      <x:c r="L9" s="36" t="str">
        <x:v>Routing matrix, host snapshots en placeholder-regel voor device-namen.</x:v>
      </x:c>
      <x:c r="M9" s="36" t="str">
        <x:v>US-022</x:v>
      </x:c>
      <x:c r="N9" s="38" t="str">
        <x:v>docs/studio_midi_routing_integration_v0.1.0.md legt KodeklopperM4 en MuziekM4 snapshots vast als testdata, niet als code constants.</x:v>
      </x:c>
    </x:row>
    <x:row r="10" ht="15" hidden="0" customHeight="1">
      <x:c r="A10" s="35" t="str">
        <x:v>US-024</x:v>
      </x:c>
      <x:c r="B10" s="36" t="str">
        <x:v>Story</x:v>
      </x:c>
      <x:c r="C10" s="36" t="str">
        <x:v>Future MIDI En DAW Integratie</x:v>
      </x:c>
      <x:c r="D10" s="36" t="str">
        <x:v>MIDI Naar NoteEvent Mapping</x:v>
      </x:c>
      <x:c r="E10" s="36" t="str">
        <x:v>Done</x:v>
      </x:c>
      <x:c r="F10" s="36" t="str">
        <x:v>Must</x:v>
      </x:c>
      <x:c r="G10" s="36" t="str">
        <x:v>DSP Engineer</x:v>
      </x:c>
      <x:c r="H10" s="37" t="n">
        <x:v>5</x:v>
      </x:c>
      <x:c r="I10" s="36" t="str">
        <x:v>Future</x:v>
      </x:c>
      <x:c r="J10" s="36" t="str">
        <x:v>MIDI note on/off wordt correct naar NoteEvent gemapt, inclusief channel en genormaliseerde velocity.</x:v>
      </x:c>
      <x:c r="K10" s="36" t="str">
        <x:v>Mapper tests falen voor note number, channel, velocity, velocity-zero note-off en ontbrekende note-off.</x:v>
      </x:c>
      <x:c r="L10" s="36" t="str">
        <x:v>MidiToNoteEventMapper class en VirtualMidiInputAdapter hergebruik van dezelfde mapper.</x:v>
      </x:c>
      <x:c r="M10" s="36" t="str">
        <x:v>US-006, US-019</x:v>
      </x:c>
      <x:c r="N10" s="38" t="str">
        <x:v>pytest groen: note number 60 -&gt; C4, channels blijven gescheiden, default duration werkt en docs/traceability zijn bijgewerkt.</x:v>
      </x:c>
    </x:row>
    <x:row r="11" ht="15" hidden="0" customHeight="1">
      <x:c r="A11" s="35" t="str">
        <x:v>US-025</x:v>
      </x:c>
      <x:c r="B11" s="36" t="str">
        <x:v>Story</x:v>
      </x:c>
      <x:c r="C11" s="36" t="str">
        <x:v>Future MIDI En DAW Integratie</x:v>
      </x:c>
      <x:c r="D11" s="36" t="str">
        <x:v>MIDI Device Discovery En Default Selection</x:v>
      </x:c>
      <x:c r="E11" s="36" t="str">
        <x:v>Done</x:v>
      </x:c>
      <x:c r="F11" s="36" t="str">
        <x:v>Must</x:v>
      </x:c>
      <x:c r="G11" s="36" t="str">
        <x:v>Lead Developer</x:v>
      </x:c>
      <x:c r="H11" s="37" t="n">
        <x:v>3</x:v>
      </x:c>
      <x:c r="I11" s="36" t="str">
        <x:v>Future</x:v>
      </x:c>
      <x:c r="J11" s="36" t="str">
        <x:v>CLI scant MIDI devices veilig en kiest input via CLI naam, CLI identifier of YAML default.</x:v>
      </x:c>
      <x:c r="K11" s="36" t="str">
        <x:v>Device discovery, identifier selectie, config precedence en missing-device tests falen.</x:v>
      </x:c>
      <x:c r="L11" s="36" t="str">
        <x:v>MidiDeviceSelector, MidiDeviceSelection en midi list-devices flags --midi-device, --midi-device-id en --config.</x:v>
      </x:c>
      <x:c r="M11" s="36" t="str">
        <x:v>US-019, US-020, US-022</x:v>
      </x:c>
      <x:c r="N11" s="38" t="str">
        <x:v>pytest groen: CLI wint van YAML, output devices worden niet als input geselecteerd, geen hardcoded MIDI device names.</x:v>
      </x:c>
    </x:row>
    <x:row r="12" ht="15" hidden="0" customHeight="1">
      <x:c r="A12" s="35" t="str">
        <x:v>US-026</x:v>
      </x:c>
      <x:c r="B12" s="36" t="str">
        <x:v>Story</x:v>
      </x:c>
      <x:c r="C12" s="36" t="str">
        <x:v>Future MIDI En DAW Integratie</x:v>
      </x:c>
      <x:c r="D12" s="36" t="str">
        <x:v>Live MIDI Input Receive Loop</x:v>
      </x:c>
      <x:c r="E12" s="36" t="str">
        <x:v>Done</x:v>
      </x:c>
      <x:c r="F12" s="36" t="str">
        <x:v>Must</x:v>
      </x:c>
      <x:c r="G12" s="36" t="str">
        <x:v>Lead Developer</x:v>
      </x:c>
      <x:c r="H12" s="37" t="n">
        <x:v>5</x:v>
      </x:c>
      <x:c r="I12" s="36" t="str">
        <x:v>Future</x:v>
      </x:c>
      <x:c r="J12" s="36" t="str">
        <x:v>CLI luistert bounded naar gekozen MIDI input en mapped note messages naar NoteSequence.</x:v>
      </x:c>
      <x:c r="K12" s="36" t="str">
        <x:v>Normalizer, fake receive backend en midi listen CLI tests falen.</x:v>
      </x:c>
      <x:c r="L12" s="36" t="str">
        <x:v>MidiMessageNormalizer, LiveMidiInputReceiver, MidiInputReceiveSettings/Result en midi listen command.</x:v>
      </x:c>
      <x:c r="M12" s="36" t="str">
        <x:v>US-024, US-025</x:v>
      </x:c>
      <x:c r="N12" s="38" t="str">
        <x:v>pytest groen en hardwaretest geslaagd op KodeklopperM4: SMK-37 Pro_BLE Bluetooth via naamfragment en input:7 ontving echte MIDI note messages.</x:v>
      </x:c>
    </x:row>
    <x:row r="13" ht="15" hidden="0" customHeight="1">
      <x:c r="A13" s="35" t="str">
        <x:v>US-027</x:v>
      </x:c>
      <x:c r="B13" s="36" t="str">
        <x:v>Story</x:v>
      </x:c>
      <x:c r="C13" s="36" t="str">
        <x:v>Future MIDI En DAW Integratie</x:v>
      </x:c>
      <x:c r="D13" s="36" t="str">
        <x:v>Virtual MIDI Port Voor Logic/DAW</x:v>
      </x:c>
      <x:c r="E13" s="36" t="str">
        <x:v>To Do</x:v>
      </x:c>
      <x:c r="F13" s="36" t="str">
        <x:v>Should</x:v>
      </x:c>
      <x:c r="G13" s="36" t="str">
        <x:v>Lead Developer</x:v>
      </x:c>
      <x:c r="H13" s="37" t="n">
        <x:v>5</x:v>
      </x:c>
      <x:c r="I13" s="36" t="str">
        <x:v>Future</x:v>
      </x:c>
      <x:c r="J13" s="36" t="str">
        <x:v>python-d1-synth kan later als virtual MIDI destination zichtbaar worden voor Logic/DAW.</x:v>
      </x:c>
      <x:c r="K13" s="36" t="str">
        <x:v>Virtual port creation tests ontbreken.</x:v>
      </x:c>
      <x:c r="L13" s="36" t="str">
        <x:v>Nog niet implementeren; eerst US-026 hardwaretest en design review.</x:v>
      </x:c>
      <x:c r="M13" s="36" t="str">
        <x:v>US-026</x:v>
      </x:c>
      <x:c r="N13" s="38" t="str">
        <x:v>Bewust uit US-026 gehouden om side quest scope creep te voorkomen.</x:v>
      </x:c>
    </x:row>
    <x:row r="14" ht="15" hidden="0" customHeight="1">
      <x:c r="A14" s="39" t="str">
        <x:v>US-028</x:v>
      </x:c>
      <x:c r="B14" s="40" t="str">
        <x:v>Story</x:v>
      </x:c>
      <x:c r="C14" s="40" t="str">
        <x:v>Future MIDI En DAW Integratie</x:v>
      </x:c>
      <x:c r="D14" s="40" t="str">
        <x:v>External MIDI Audio Trigger Integratie</x:v>
      </x:c>
      <x:c r="E14" s="40" t="str">
        <x:v>To Do</x:v>
      </x:c>
      <x:c r="F14" s="40" t="str">
        <x:v>Must</x:v>
      </x:c>
      <x:c r="G14" s="40" t="str">
        <x:v>DSP Engineer</x:v>
      </x:c>
      <x:c r="H14" s="41" t="n">
        <x:v>8</x:v>
      </x:c>
      <x:c r="I14" s="40" t="str">
        <x:v>Future</x:v>
      </x:c>
      <x:c r="J14" s="40" t="str">
        <x:v>Ontvangen MIDI note events triggeren hoorbaar audio via de bestaande synth engine.</x:v>
      </x:c>
      <x:c r="K14" s="40" t="str">
        <x:v>Live MIDI naar audio integration tests ontbreken.</x:v>
      </x:c>
      <x:c r="L14" s="40" t="str">
        <x:v>Nog niet implementeren; vereist receive-loop validatie en audio scheduling ontwerp.</x:v>
      </x:c>
      <x:c r="M14" s="40" t="str">
        <x:v>US-026, US-027</x:v>
      </x:c>
      <x:c r="N14" s="42" t="str">
        <x:v>Bewust uit US-026 gehouden; dit is de eerste live speelbare MIDI-audio story.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ba10fb659144c66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7.88999938964844" hidden="0" customWidth="1"/>
    <x:col min="2" max="2" width="11.109999656677246" hidden="0" customWidth="1"/>
    <x:col min="4" max="4" width="8.779999732971191" hidden="0" customWidth="1"/>
    <x:col min="5" max="5" width="4.889999866485596" hidden="0" customWidth="1"/>
    <x:col min="6" max="6" width="9.4399995803833" hidden="0" customWidth="1"/>
  </x:cols>
  <x:sheetData>
    <x:row r="1">
      <x:c r="A1" s="3" t="str">
        <x:v>python-d1-synth Sprint 1 Summary</x:v>
      </x:c>
      <x:c r="B1" s="3"/>
      <x:c r="C1" s="3"/>
      <x:c r="D1" s="3"/>
      <x:c r="E1" s="3"/>
      <x:c r="F1" s="3"/>
    </x:row>
    <x:row r="3">
      <x:c r="A3" s="43" t="str">
        <x:v>Metric</x:v>
      </x:c>
      <x:c r="B3" s="43" t="str">
        <x:v>Value</x:v>
      </x:c>
      <x:c r="D3" s="43" t="str">
        <x:v>Status</x:v>
      </x:c>
      <x:c r="E3" s="43" t="str">
        <x:v>Count</x:v>
      </x:c>
      <x:c r="F3" s="43" t="str">
        <x:v>Story Points</x:v>
      </x:c>
    </x:row>
    <x:row r="4">
      <x:c r="A4" s="44" t="str">
        <x:v>Total Stories</x:v>
      </x:c>
      <x:c r="B4" s="44" t="n">
        <x:f>COUNTA('Sprint 1 Board'!A5:A22)</x:f>
        <x:v>18</x:v>
      </x:c>
      <x:c r="D4" s="44" t="str">
        <x:v>To Do</x:v>
      </x:c>
      <x:c r="E4" s="44" t="n">
        <x:f>COUNTIF('Sprint 1 Board'!E5:E22,D4)</x:f>
        <x:v>0</x:v>
      </x:c>
      <x:c r="F4" s="44" t="n">
        <x:f>SUMIF('Sprint 1 Board'!E5:E22,D4,'Sprint 1 Board'!H5:H22)</x:f>
        <x:v>0</x:v>
      </x:c>
    </x:row>
    <x:row r="5">
      <x:c r="A5" s="44" t="str">
        <x:v>Must Stories</x:v>
      </x:c>
      <x:c r="B5" s="44" t="n">
        <x:f>COUNTIF('Sprint 1 Board'!F5:F22,"Must")</x:f>
        <x:v>15</x:v>
      </x:c>
      <x:c r="D5" s="44" t="str">
        <x:v>In Progress</x:v>
      </x:c>
      <x:c r="E5" s="44" t="n">
        <x:f>COUNTIF('Sprint 1 Board'!E5:E22,D5)</x:f>
        <x:v>0</x:v>
      </x:c>
      <x:c r="F5" s="44" t="n">
        <x:f>SUMIF('Sprint 1 Board'!E5:E22,D5,'Sprint 1 Board'!H5:H22)</x:f>
        <x:v>0</x:v>
      </x:c>
    </x:row>
    <x:row r="6">
      <x:c r="A6" s="44" t="str">
        <x:v>Should Stories</x:v>
      </x:c>
      <x:c r="B6" s="44" t="n">
        <x:f>COUNTIF('Sprint 1 Board'!F5:F22,"Should")</x:f>
        <x:v>3</x:v>
      </x:c>
      <x:c r="D6" s="44" t="str">
        <x:v>In Review</x:v>
      </x:c>
      <x:c r="E6" s="44" t="n">
        <x:f>COUNTIF('Sprint 1 Board'!E5:E22,D6)</x:f>
        <x:v>0</x:v>
      </x:c>
      <x:c r="F6" s="44" t="n">
        <x:f>SUMIF('Sprint 1 Board'!E5:E22,D6,'Sprint 1 Board'!H5:H22)</x:f>
        <x:v>0</x:v>
      </x:c>
    </x:row>
    <x:row r="7">
      <x:c r="A7" s="44" t="str">
        <x:v>Total Story Points</x:v>
      </x:c>
      <x:c r="B7" s="44" t="n">
        <x:f>SUM('Sprint 1 Board'!H5:H22)</x:f>
        <x:v>55</x:v>
      </x:c>
      <x:c r="D7" s="44" t="str">
        <x:v>Done</x:v>
      </x:c>
      <x:c r="E7" s="44" t="n">
        <x:f>COUNTIF('Sprint 1 Board'!E5:E22,D7)</x:f>
        <x:v>18</x:v>
      </x:c>
      <x:c r="F7" s="44" t="n">
        <x:f>SUMIF('Sprint 1 Board'!E5:E22,D7,'Sprint 1 Board'!H5:H22)</x:f>
        <x:v>55</x:v>
      </x:c>
    </x:row>
    <x:row r="8">
      <x:c r="A8" s="44" t="str">
        <x:v>In Review</x:v>
      </x:c>
      <x:c r="B8" s="44" t="n">
        <x:f>COUNTIF('Sprint 1 Board'!E5:E22,"In Review")</x:f>
        <x:v>0</x:v>
      </x:c>
      <x:c r="D8" s="44" t="str">
        <x:v>Blocked</x:v>
      </x:c>
      <x:c r="E8" s="44" t="n">
        <x:f>COUNTIF('Sprint 1 Board'!E5:E22,D8)</x:f>
        <x:v>0</x:v>
      </x:c>
      <x:c r="F8" s="44" t="n">
        <x:f>SUMIF('Sprint 1 Board'!E5:E22,D8,'Sprint 1 Board'!H5:H22)</x:f>
        <x:v>0</x:v>
      </x:c>
    </x:row>
    <x:row r="9">
      <x:c r="A9" s="44" t="str">
        <x:v>Future MIDI/DAW Stories</x:v>
      </x:c>
      <x:c r="B9" s="44" t="n">
        <x:f>COUNTA('Future MIDI DAW'!A5:A14)</x:f>
        <x:v>10</x:v>
      </x:c>
    </x:row>
    <x:row r="10">
      <x:c r="A10" s="44" t="str">
        <x:v>Future MIDI/DAW Points</x:v>
      </x:c>
      <x:c r="B10" s="44" t="n">
        <x:f>SUM('Future MIDI DAW'!H5:H14)</x:f>
        <x:v>44</x:v>
      </x:c>
    </x:row>
    <x:row r="11">
      <x:c r="A11" s="44" t="str">
        <x:v>Primary DAW</x:v>
      </x:c>
      <x:c r="B11" s="44" t="str">
        <x:v>Logic Pro 12.3</x:v>
      </x:c>
    </x:row>
  </x:sheetData>
  <x:mergeCells>
    <x:mergeCell ref="A1:F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889999389648438" hidden="0" customWidth="1"/>
    <x:col min="2" max="2" width="5.670000076293945" hidden="0" customWidth="1"/>
    <x:col min="3" max="3" width="13.109999656677246" hidden="0" customWidth="1"/>
    <x:col min="4" max="4" width="8.670000076293945" hidden="0" customWidth="1"/>
  </x:cols>
  <x:sheetData>
    <x:row r="1">
      <x:c r="A1" s="3" t="str">
        <x:v>Reference Lists</x:v>
      </x:c>
      <x:c r="B1" s="3"/>
      <x:c r="C1" s="3"/>
      <x:c r="D1" s="3"/>
    </x:row>
    <x:row r="3">
      <x:c r="A3" s="43" t="str">
        <x:v>Status</x:v>
      </x:c>
      <x:c r="B3" s="43" t="str">
        <x:v>Priority</x:v>
      </x:c>
      <x:c r="C3" s="43" t="str">
        <x:v>Owner</x:v>
      </x:c>
      <x:c r="D3" s="43" t="str">
        <x:v>Debuglevel</x:v>
      </x:c>
    </x:row>
    <x:row r="4">
      <x:c r="A4" s="44" t="str">
        <x:v>To Do</x:v>
      </x:c>
      <x:c r="B4" s="44" t="str">
        <x:v>Must</x:v>
      </x:c>
      <x:c r="C4" s="44" t="str">
        <x:v>Product Owner</x:v>
      </x:c>
      <x:c r="D4" s="44" t="str">
        <x:v>none</x:v>
      </x:c>
    </x:row>
    <x:row r="5">
      <x:c r="A5" s="44" t="str">
        <x:v>In Progress</x:v>
      </x:c>
      <x:c r="B5" s="44" t="str">
        <x:v>Should</x:v>
      </x:c>
      <x:c r="C5" s="44" t="str">
        <x:v>Lead Developer</x:v>
      </x:c>
      <x:c r="D5" s="44" t="str">
        <x:v>light</x:v>
      </x:c>
    </x:row>
    <x:row r="6">
      <x:c r="A6" s="44" t="str">
        <x:v>In Review</x:v>
      </x:c>
      <x:c r="B6" s="44" t="str">
        <x:v>Could</x:v>
      </x:c>
      <x:c r="C6" s="44" t="str">
        <x:v>DSP Engineer</x:v>
      </x:c>
      <x:c r="D6" s="44" t="str">
        <x:v>verbose</x:v>
      </x:c>
    </x:row>
    <x:row r="7">
      <x:c r="A7" s="44" t="str">
        <x:v>Done</x:v>
      </x:c>
      <x:c r="B7" s="44" t="str">
        <x:v>Won't</x:v>
      </x:c>
      <x:c r="C7" s="44" t="str">
        <x:v>QA Engineer</x:v>
      </x:c>
      <x:c r="D7" s="44"/>
    </x:row>
    <x:row r="8">
      <x:c r="A8" s="44" t="str">
        <x:v>Blocked</x:v>
      </x:c>
      <x:c r="B8" s="44"/>
      <x:c r="C8" s="44" t="str">
        <x:v>Release Engineer</x:v>
      </x:c>
      <x:c r="D8" s="44"/>
    </x:row>
    <x:row r="9">
      <x:c r="A9" s="44"/>
      <x:c r="B9" s="44"/>
      <x:c r="C9" s="44" t="str">
        <x:v>Technical Writer</x:v>
      </x:c>
      <x:c r="D9" s="44"/>
    </x:row>
  </x:sheetData>
  <x:mergeCells>
    <x:mergeCell ref="A1:D1"/>
  </x:mergeCells>
  <x:pageMargins left="0.7" right="0.7" top="0.75" bottom="0.75" header="0.3" footer="0.3"/>
</x:worksheet>
</file>