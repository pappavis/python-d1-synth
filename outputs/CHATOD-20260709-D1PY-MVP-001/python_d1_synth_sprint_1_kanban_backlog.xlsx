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bda359f47046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dc708d6d2b944c02"/>
    <x:sheet xmlns:r="http://schemas.openxmlformats.org/officeDocument/2006/relationships" name="Future MIDI DAW" sheetId="2" r:id="Rac577e90d0354fdc"/>
    <x:sheet xmlns:r="http://schemas.openxmlformats.org/officeDocument/2006/relationships" name="Summary" sheetId="3" r:id="R63f590b772cc4d17"/>
    <x:sheet xmlns:r="http://schemas.openxmlformats.org/officeDocument/2006/relationships" name="Reference" sheetId="4" r:id="Rc70ab57d807b40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d46f8efa004cd1" /><Relationship Type="http://schemas.openxmlformats.org/officeDocument/2006/relationships/theme" Target="/xl/theme/theme1.xml" Id="R734ba98d860949a2" /><Relationship Type="http://schemas.openxmlformats.org/officeDocument/2006/relationships/sharedStrings" Target="/xl/sharedStrings.xml" Id="R63d052d28baf4001" /><Relationship Type="http://schemas.openxmlformats.org/officeDocument/2006/relationships/worksheet" Target="/xl/worksheets/sheet1.xml" Id="Rdc708d6d2b944c02" /><Relationship Type="http://schemas.openxmlformats.org/officeDocument/2006/relationships/worksheet" Target="/xl/worksheets/sheet2.xml" Id="Rac577e90d0354fdc" /><Relationship Type="http://schemas.openxmlformats.org/officeDocument/2006/relationships/worksheet" Target="/xl/worksheets/sheet3.xml" Id="R63f590b772cc4d17" /><Relationship Type="http://schemas.openxmlformats.org/officeDocument/2006/relationships/worksheet" Target="/xl/worksheets/sheet4.xml" Id="Rc70ab57d807b40db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020d42033304c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a7fcf24976740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In Review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 en timing.</x:v>
      </x:c>
      <x:c r="K10" s="16" t="str">
        <x:v>Modelvalidatie tests falen.</x:v>
      </x:c>
      <x:c r="L10" s="16" t="str">
        <x:v>Class based event/sequence model.</x:v>
      </x:c>
      <x:c r="M10" s="16" t="str">
        <x:v>US-004</x:v>
      </x:c>
      <x:c r="N10" s="18" t="str">
        <x:v>Dataclasses toegevoegd als basis voor MIDI mapping.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To Do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geluid.</x:v>
      </x:c>
      <x:c r="K15" s="16" t="str">
        <x:v>Audio output adapter test faalt.</x:v>
      </x:c>
      <x:c r="L15" s="16" t="str">
        <x:v>sounddevice adapter en CLI play command.</x:v>
      </x:c>
      <x:c r="M15" s="16" t="str">
        <x:v>US-007</x:v>
      </x:c>
      <x:c r="N15" s="18" t="str">
        <x:v>Adapter aanwezig; hoorbare output nog niet handmatig geverifieerd.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To Do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noten.</x:v>
      </x:c>
      <x:c r="K16" s="16" t="str">
        <x:v>Sequence playback test faalt.</x:v>
      </x:c>
      <x:c r="L16" s="16" t="str">
        <x:v>Playback engine voor NoteSequence.</x:v>
      </x:c>
      <x:c r="M16" s="16" t="str">
        <x:v>US-005, US-011</x:v>
      </x:c>
      <x:c r="N16" s="18" t="str">
        <x:v>Dumb user testmode.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In Review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werkt.</x:v>
      </x:c>
      <x:c r="K17" s="16" t="str">
        <x:v>Kanaalrouting tests falen.</x:v>
      </x:c>
      <x:c r="L17" s="16" t="str">
        <x:v>ChannelRouter class en CLI option.</x:v>
      </x:c>
      <x:c r="M17" s="16" t="str">
        <x:v>US-010, US-011</x:v>
      </x:c>
      <x:c r="N17" s="18" t="str">
        <x:v>ChannelRouter en test aangemaakt.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In Review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output.</x:v>
      </x:c>
      <x:c r="K20" s="16" t="str">
        <x:v>CLI output tests falen.</x:v>
      </x:c>
      <x:c r="L20" s="16" t="str">
        <x:v>DebugLevel enum/class en reporter.</x:v>
      </x:c>
      <x:c r="M20" s="16" t="str">
        <x:v>US-011, US-015</x:v>
      </x:c>
      <x:c r="N20" s="18" t="str">
        <x:v>DebugReporter toegevoegd; outputtests nog niet uitgevoerd.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20d42033304cb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en kiest device via CLI of YAML default.</x:v>
      </x:c>
      <x:c r="K11" s="40" t="str">
        <x:v>Device discovery en config precedence tests falen.</x:v>
      </x:c>
      <x:c r="L11" s="40" t="str">
        <x:v>MidiDeviceScanner, CLI list-devices en config default.</x:v>
      </x:c>
      <x:c r="M11" s="40" t="str">
        <x:v>US-019, US-020, US-022</x:v>
      </x:c>
      <x:c r="N11" s="42" t="str">
        <x:v>Skeleton toegevoegd; optionele mido/backend nog nodig voor echte devices.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7fcf249767405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2</x:v>
      </x:c>
      <x:c r="F4" s="44" t="n">
        <x:f>SUMIF('Sprint 1 Board'!E5:E22,D4,'Sprint 1 Board'!H5:H22)</x:f>
        <x:v>8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5</x:v>
      </x:c>
      <x:c r="F6" s="44" t="n">
        <x:f>SUMIF('Sprint 1 Board'!E5:E22,D6,'Sprint 1 Board'!H5:H22)</x:f>
        <x:v>14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11</x:v>
      </x:c>
      <x:c r="F7" s="44" t="n">
        <x:f>SUMIF('Sprint 1 Board'!E5:E22,D7,'Sprint 1 Board'!H5:H22)</x:f>
        <x:v>33</x:v>
      </x:c>
    </x:row>
    <x:row r="8">
      <x:c r="A8" s="44" t="str">
        <x:v>In Review</x:v>
      </x:c>
      <x:c r="B8" s="44" t="n">
        <x:f>COUNTIF('Sprint 1 Board'!E5:E22,"In Review")</x:f>
        <x:v>5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