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8178b399fd4c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rint 1 Board" sheetId="1" r:id="Re02755f5d2c64c23"/>
    <x:sheet xmlns:r="http://schemas.openxmlformats.org/officeDocument/2006/relationships" name="Future MIDI DAW" sheetId="2" r:id="R80b7b70c03e74f2c"/>
    <x:sheet xmlns:r="http://schemas.openxmlformats.org/officeDocument/2006/relationships" name="Summary" sheetId="3" r:id="R27944b6d08914175"/>
    <x:sheet xmlns:r="http://schemas.openxmlformats.org/officeDocument/2006/relationships" name="Reference" sheetId="4" r:id="Rbb6665a40d9d44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385723"/>
      </x:patternFill>
    </x:fill>
    <x:fill>
      <x:patternFill patternType="solid">
        <x:fgColor rgb="FFE2F0D9"/>
      </x:patternFill>
    </x:fill>
    <x:fill>
      <x:patternFill patternType="solid">
        <x:fgColor rgb="FF548235"/>
      </x:patternFill>
    </x:fill>
  </x:fills>
  <x:borders count="19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D9EAD3"/>
      </x:right>
      <x:bottom style="thin">
        <x:color rgb="FFD9EAD3"/>
      </x:bottom>
    </x:border>
    <x:border>
      <x:left style="thin">
        <x:color rgb="FFD9EAD3"/>
      </x:left>
      <x:right style="thin">
        <x:color rgb="FFD9EAD3"/>
      </x:right>
      <x:bottom style="thin">
        <x:color rgb="FFD9EAD3"/>
      </x:bottom>
    </x:border>
    <x:border>
      <x:left style="thin">
        <x:color rgb="FFD9EAD3"/>
      </x:left>
      <x:bottom style="thin">
        <x:color rgb="FFD9EAD3"/>
      </x:bottom>
    </x:border>
    <x:border>
      <x:right style="thin">
        <x:color rgb="FFD9EAD3"/>
      </x:right>
      <x:top style="thin">
        <x:color rgb="FFD9EAD3"/>
      </x:top>
      <x:bottom style="thin">
        <x:color rgb="FFD9EAD3"/>
      </x:bottom>
    </x:border>
    <x:border>
      <x:left style="thin">
        <x:color rgb="FFD9EAD3"/>
      </x:left>
      <x:right style="thin">
        <x:color rgb="FFD9EAD3"/>
      </x:right>
      <x:top style="thin">
        <x:color rgb="FFD9EAD3"/>
      </x:top>
      <x:bottom style="thin">
        <x:color rgb="FFD9EAD3"/>
      </x:bottom>
    </x:border>
    <x:border>
      <x:left style="thin">
        <x:color rgb="FFD9EAD3"/>
      </x:left>
      <x:top style="thin">
        <x:color rgb="FFD9EAD3"/>
      </x:top>
      <x:bottom style="thin">
        <x:color rgb="FFD9EAD3"/>
      </x:bottom>
    </x:border>
    <x:border>
      <x:right style="thin">
        <x:color rgb="FFD9EAD3"/>
      </x:right>
      <x:top style="thin">
        <x:color rgb="FFD9EAD3"/>
      </x:top>
    </x:border>
    <x:border>
      <x:left style="thin">
        <x:color rgb="FFD9EAD3"/>
      </x:left>
      <x:right style="thin">
        <x:color rgb="FFD9EAD3"/>
      </x:right>
      <x:top style="thin">
        <x:color rgb="FFD9EAD3"/>
      </x:top>
    </x:border>
    <x:border>
      <x:left style="thin">
        <x:color rgb="FFD9EAD3"/>
      </x:left>
      <x:top style="thin">
        <x:color rgb="FFD9EAD3"/>
      </x:top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10" xfId="0" applyNumberFormat="1" applyFont="1" applyFill="1" applyBorder="1" applyAlignment="1">
      <x:alignment wrapText="1"/>
    </x:xf>
    <x:xf numFmtId="0" fontId="3" fillId="7" borderId="11" xfId="0" applyNumberFormat="1" applyFont="1" applyFill="1" applyBorder="1" applyAlignment="1">
      <x:alignment wrapText="1"/>
    </x:xf>
    <x:xf numFmtId="0" fontId="3" fillId="7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/>
    <x:xf numFmtId="0" fontId="0" fillId="0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181a01be0d40e3" /><Relationship Type="http://schemas.openxmlformats.org/officeDocument/2006/relationships/theme" Target="/xl/theme/theme1.xml" Id="Ra7db355a535c43f3" /><Relationship Type="http://schemas.openxmlformats.org/officeDocument/2006/relationships/sharedStrings" Target="/xl/sharedStrings.xml" Id="R815fd5e45e794634" /><Relationship Type="http://schemas.openxmlformats.org/officeDocument/2006/relationships/worksheet" Target="/xl/worksheets/sheet1.xml" Id="Re02755f5d2c64c23" /><Relationship Type="http://schemas.openxmlformats.org/officeDocument/2006/relationships/worksheet" Target="/xl/worksheets/sheet2.xml" Id="R80b7b70c03e74f2c" /><Relationship Type="http://schemas.openxmlformats.org/officeDocument/2006/relationships/worksheet" Target="/xl/worksheets/sheet3.xml" Id="R27944b6d08914175" /><Relationship Type="http://schemas.openxmlformats.org/officeDocument/2006/relationships/worksheet" Target="/xl/worksheets/sheet4.xml" Id="Rbb6665a40d9d44ba" /></Relationships>
</file>

<file path=xl/tables/table1.xml><?xml version="1.0" encoding="utf-8"?>
<x:table xmlns:x="http://schemas.openxmlformats.org/spreadsheetml/2006/main" id="1" name="Sprint1Backlog" displayName="Sprint1Backlog" ref="A4:N22" headerRowCount="1" totalsRowCount="0" totalsRowShown="0">
  <x:autoFilter ref="A4:N22"/>
  <x:tableColumns count="14">
    <x:tableColumn id="1" name="ID"/>
    <x:tableColumn id="2" name="Type"/>
    <x:tableColumn id="3" name="Epic"/>
    <x:tableColumn id="4" name="Title"/>
    <x:tableColumn id="5" name="Status"/>
    <x:tableColumn id="6" name="Priority"/>
    <x:tableColumn id="7" name="Owner"/>
    <x:tableColumn id="8" name="Story Points"/>
    <x:tableColumn id="9" name="Sprint"/>
    <x:tableColumn id="10" name="Acceptance Criteria Summary"/>
    <x:tableColumn id="11" name="Red Phase Test"/>
    <x:tableColumn id="12" name="Green Phase Work"/>
    <x:tableColumn id="13" name="Dependencies"/>
    <x:tableColumn id="1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utureMidiDawBacklog" displayName="FutureMidiDawBacklog" ref="A4:N11" headerRowCount="1" totalsRowCount="0" totalsRowShown="0">
  <x:autoFilter ref="A4:N11"/>
  <x:tableColumns count="14">
    <x:tableColumn id="1" name="ID"/>
    <x:tableColumn id="2" name="Type"/>
    <x:tableColumn id="3" name="Epic"/>
    <x:tableColumn id="4" name="Title"/>
    <x:tableColumn id="5" name="Status"/>
    <x:tableColumn id="6" name="Priority"/>
    <x:tableColumn id="7" name="Owner"/>
    <x:tableColumn id="8" name="Story Points"/>
    <x:tableColumn id="9" name="Sprint"/>
    <x:tableColumn id="10" name="Acceptance Criteria Summary"/>
    <x:tableColumn id="11" name="Red Phase Test"/>
    <x:tableColumn id="12" name="Green Phase Work"/>
    <x:tableColumn id="13" name="Dependencies"/>
    <x:tableColumn id="14" name="Note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084831e8844cb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e86ede1be3848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24" hidden="0" customWidth="1"/>
    <x:col min="4" max="4" width="30" hidden="0" customWidth="1"/>
    <x:col min="5" max="5" width="14" hidden="0" customWidth="1"/>
    <x:col min="6" max="6" width="12" hidden="0" customWidth="1"/>
    <x:col min="7" max="7" width="18" hidden="0" customWidth="1"/>
    <x:col min="8" max="8" width="12" hidden="0" customWidth="1"/>
    <x:col min="9" max="9" width="12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>
      <x:c r="A1" s="3" t="str">
        <x:v>python-d1-synth Sprint 1 Kanban Backlog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5" t="str">
        <x:v>ChatOD: CHATOD-20260709-D1PY-MVP-001 | Date: 2026-07-09 | Status: Draft for customer review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4" ht="15" hidden="0" customHeight="1">
      <x:c r="A4" s="12" t="str">
        <x:v>ID</x:v>
      </x:c>
      <x:c r="B4" s="13" t="str">
        <x:v>Type</x:v>
      </x:c>
      <x:c r="C4" s="13" t="str">
        <x:v>Epic</x:v>
      </x:c>
      <x:c r="D4" s="13" t="str">
        <x:v>Title</x:v>
      </x:c>
      <x:c r="E4" s="13" t="str">
        <x:v>Status</x:v>
      </x:c>
      <x:c r="F4" s="13" t="str">
        <x:v>Priority</x:v>
      </x:c>
      <x:c r="G4" s="13" t="str">
        <x:v>Owner</x:v>
      </x:c>
      <x:c r="H4" s="13" t="str">
        <x:v>Story Points</x:v>
      </x:c>
      <x:c r="I4" s="13" t="str">
        <x:v>Sprint</x:v>
      </x:c>
      <x:c r="J4" s="13" t="str">
        <x:v>Acceptance Criteria Summary</x:v>
      </x:c>
      <x:c r="K4" s="13" t="str">
        <x:v>Red Phase Test</x:v>
      </x:c>
      <x:c r="L4" s="13" t="str">
        <x:v>Green Phase Work</x:v>
      </x:c>
      <x:c r="M4" s="13" t="str">
        <x:v>Dependencies</x:v>
      </x:c>
      <x:c r="N4" s="14" t="str">
        <x:v>Notes</x:v>
      </x:c>
    </x:row>
    <x:row r="5" ht="15" hidden="0" customHeight="1">
      <x:c r="A5" s="15" t="str">
        <x:v>US-001</x:v>
      </x:c>
      <x:c r="B5" s="16" t="str">
        <x:v>Story</x:v>
      </x:c>
      <x:c r="C5" s="16" t="str">
        <x:v>Projectbasis</x:v>
      </x:c>
      <x:c r="D5" s="16" t="str">
        <x:v>Project Skeleton</x:v>
      </x:c>
      <x:c r="E5" s="16" t="str">
        <x:v>Done</x:v>
      </x:c>
      <x:c r="F5" s="16" t="str">
        <x:v>Must</x:v>
      </x:c>
      <x:c r="G5" s="16" t="str">
        <x:v>Lead Developer</x:v>
      </x:c>
      <x:c r="H5" s="17" t="n">
        <x:v>3</x:v>
      </x:c>
      <x:c r="I5" s="16" t="str">
        <x:v>Sprint 1</x:v>
      </x:c>
      <x:c r="J5" s="16" t="str">
        <x:v>Project startbaar via CLI en VS Code debug.</x:v>
      </x:c>
      <x:c r="K5" s="16" t="str">
        <x:v>Test import/start faalt voor skeleton.</x:v>
      </x:c>
      <x:c r="L5" s="16" t="str">
        <x:v>Minimal package layout en entrypoint.</x:v>
      </x:c>
      <x:c r="M5" s="16" t="str">
        <x:v>None</x:v>
      </x:c>
      <x:c r="N5" s="18" t="str">
        <x:v>src package, pyproject en CLI skeleton gemaakt.</x:v>
      </x:c>
    </x:row>
    <x:row r="6" ht="15" hidden="0" customHeight="1">
      <x:c r="A6" s="15" t="str">
        <x:v>US-002</x:v>
      </x:c>
      <x:c r="B6" s="16" t="str">
        <x:v>Story</x:v>
      </x:c>
      <x:c r="C6" s="16" t="str">
        <x:v>Projectbasis</x:v>
      </x:c>
      <x:c r="D6" s="16" t="str">
        <x:v>Testframework</x:v>
      </x:c>
      <x:c r="E6" s="16" t="str">
        <x:v>Done</x:v>
      </x:c>
      <x:c r="F6" s="16" t="str">
        <x:v>Must</x:v>
      </x:c>
      <x:c r="G6" s="16" t="str">
        <x:v>QA Engineer</x:v>
      </x:c>
      <x:c r="H6" s="17" t="n">
        <x:v>2</x:v>
      </x:c>
      <x:c r="I6" s="16" t="str">
        <x:v>Sprint 1</x:v>
      </x:c>
      <x:c r="J6" s="16" t="str">
        <x:v>pytest start zonder importfouten.</x:v>
      </x:c>
      <x:c r="K6" s="16" t="str">
        <x:v>pytest faalt zonder tests/setup.</x:v>
      </x:c>
      <x:c r="L6" s="16" t="str">
        <x:v>pytest configuratie en eerste smoke test.</x:v>
      </x:c>
      <x:c r="M6" s="16" t="str">
        <x:v>US-001</x:v>
      </x:c>
      <x:c r="N6" s="18" t="str">
        <x:v>pytest draait groen: 9 passed.</x:v>
      </x:c>
    </x:row>
    <x:row r="7" ht="15" hidden="0" customHeight="1">
      <x:c r="A7" s="15" t="str">
        <x:v>US-003</x:v>
      </x:c>
      <x:c r="B7" s="16" t="str">
        <x:v>Story</x:v>
      </x:c>
      <x:c r="C7" s="16" t="str">
        <x:v>Projectbasis</x:v>
      </x:c>
      <x:c r="D7" s="16" t="str">
        <x:v>VS Code Debug Configuratie</x:v>
      </x:c>
      <x:c r="E7" s="16" t="str">
        <x:v>Done</x:v>
      </x:c>
      <x:c r="F7" s="16" t="str">
        <x:v>Must</x:v>
      </x:c>
      <x:c r="G7" s="16" t="str">
        <x:v>Release Engineer</x:v>
      </x:c>
      <x:c r="H7" s="17" t="n">
        <x:v>2</x:v>
      </x:c>
      <x:c r="I7" s="16" t="str">
        <x:v>Sprint 1</x:v>
      </x:c>
      <x:c r="J7" s="16" t="str">
        <x:v>CLI command debugbaar in VS Code.</x:v>
      </x:c>
      <x:c r="K7" s="16" t="str">
        <x:v>Debug config ontbreekt.</x:v>
      </x:c>
      <x:c r="L7" s="16" t="str">
        <x:v>launch.json met play/render voorbeelden.</x:v>
      </x:c>
      <x:c r="M7" s="16" t="str">
        <x:v>US-001</x:v>
      </x:c>
      <x:c r="N7" s="18" t="str">
        <x:v>launch.json en settings.json toegevoegd.</x:v>
      </x:c>
    </x:row>
    <x:row r="8" ht="15" hidden="0" customHeight="1">
      <x:c r="A8" s="15" t="str">
        <x:v>US-004</x:v>
      </x:c>
      <x:c r="B8" s="16" t="str">
        <x:v>Story</x:v>
      </x:c>
      <x:c r="C8" s="16" t="str">
        <x:v>Muzikale Basisdata</x:v>
      </x:c>
      <x:c r="D8" s="16" t="str">
        <x:v>Note Parsing</x:v>
      </x:c>
      <x:c r="E8" s="16" t="str">
        <x:v>Done</x:v>
      </x:c>
      <x:c r="F8" s="16" t="str">
        <x:v>Must</x:v>
      </x:c>
      <x:c r="G8" s="16" t="str">
        <x:v>Lead Developer</x:v>
      </x:c>
      <x:c r="H8" s="17" t="n">
        <x:v>3</x:v>
      </x:c>
      <x:c r="I8" s="16" t="str">
        <x:v>Sprint 1</x:v>
      </x:c>
      <x:c r="J8" s="16" t="str">
        <x:v>C3 en A4 worden correct naar frequentie gemapt.</x:v>
      </x:c>
      <x:c r="K8" s="16" t="str">
        <x:v>C3/A4 tests falen.</x:v>
      </x:c>
      <x:c r="L8" s="16" t="str">
        <x:v>NoteParser class met validatie.</x:v>
      </x:c>
      <x:c r="M8" s="16" t="str">
        <x:v>US-001, US-002</x:v>
      </x:c>
      <x:c r="N8" s="18" t="str">
        <x:v>pytest dekt A4 en C3 frequenties.</x:v>
      </x:c>
    </x:row>
    <x:row r="9" ht="15" hidden="0" customHeight="1">
      <x:c r="A9" s="15" t="str">
        <x:v>US-005</x:v>
      </x:c>
      <x:c r="B9" s="16" t="str">
        <x:v>Story</x:v>
      </x:c>
      <x:c r="C9" s="16" t="str">
        <x:v>Muzikale Basisdata</x:v>
      </x:c>
      <x:c r="D9" s="16" t="str">
        <x:v>Testsequence Parsing</x:v>
      </x:c>
      <x:c r="E9" s="16" t="str">
        <x:v>Done</x:v>
      </x:c>
      <x:c r="F9" s="16" t="str">
        <x:v>Must</x:v>
      </x:c>
      <x:c r="G9" s="16" t="str">
        <x:v>Lead Developer</x:v>
      </x:c>
      <x:c r="H9" s="17" t="n">
        <x:v>3</x:v>
      </x:c>
      <x:c r="I9" s="16" t="str">
        <x:v>Sprint 1</x:v>
      </x:c>
      <x:c r="J9" s="16" t="str">
        <x:v>ACGD wordt A3 C4 G3 D4.</x:v>
      </x:c>
      <x:c r="K9" s="16" t="str">
        <x:v>Sequence parser test faalt.</x:v>
      </x:c>
      <x:c r="L9" s="16" t="str">
        <x:v>NoteSequence parser met defaults.</x:v>
      </x:c>
      <x:c r="M9" s="16" t="str">
        <x:v>US-004</x:v>
      </x:c>
      <x:c r="N9" s="18" t="str">
        <x:v>pytest dekt ACGD default octaves.</x:v>
      </x:c>
    </x:row>
    <x:row r="10" ht="15" hidden="0" customHeight="1">
      <x:c r="A10" s="15" t="str">
        <x:v>US-006</x:v>
      </x:c>
      <x:c r="B10" s="16" t="str">
        <x:v>Story</x:v>
      </x:c>
      <x:c r="C10" s="16" t="str">
        <x:v>Muzikale Basisdata</x:v>
      </x:c>
      <x:c r="D10" s="16" t="str">
        <x:v>NoteEvent En NoteSequence Model</x:v>
      </x:c>
      <x:c r="E10" s="16" t="str">
        <x:v>Done</x:v>
      </x:c>
      <x:c r="F10" s="16" t="str">
        <x:v>Must</x:v>
      </x:c>
      <x:c r="G10" s="16" t="str">
        <x:v>DSP Engineer</x:v>
      </x:c>
      <x:c r="H10" s="17" t="n">
        <x:v>3</x:v>
      </x:c>
      <x:c r="I10" s="16" t="str">
        <x:v>Sprint 1</x:v>
      </x:c>
      <x:c r="J10" s="16" t="str">
        <x:v>Intern eventmodel ondersteunt note, duration, velocity, timing en traceerbare code-docstrings.</x:v>
      </x:c>
      <x:c r="K10" s="16" t="str">
        <x:v>Modelvalidatie en traceability tests falen.</x:v>
      </x:c>
      <x:c r="L10" s="16" t="str">
        <x:v>NoteEvent validatie, NoteSequence tuple-normalisatie en code traceability.</x:v>
      </x:c>
      <x:c r="M10" s="16" t="str">
        <x:v>US-004</x:v>
      </x:c>
      <x:c r="N10" s="18" t="str">
        <x:v>pytest groen: duration, velocity, timing, volgorde en traceability afgedekt.</x:v>
      </x:c>
    </x:row>
    <x:row r="11" ht="15" hidden="0" customHeight="1">
      <x:c r="A11" s="15" t="str">
        <x:v>US-007</x:v>
      </x:c>
      <x:c r="B11" s="16" t="str">
        <x:v>Story</x:v>
      </x:c>
      <x:c r="C11" s="16" t="str">
        <x:v>Oscillator En Audio Rendering</x:v>
      </x:c>
      <x:c r="D11" s="16" t="str">
        <x:v>Sine Oscillator</x:v>
      </x:c>
      <x:c r="E11" s="16" t="str">
        <x:v>Done</x:v>
      </x:c>
      <x:c r="F11" s="16" t="str">
        <x:v>Must</x:v>
      </x:c>
      <x:c r="G11" s="16" t="str">
        <x:v>DSP Engineer</x:v>
      </x:c>
      <x:c r="H11" s="17" t="n">
        <x:v>5</x:v>
      </x:c>
      <x:c r="I11" s="16" t="str">
        <x:v>Sprint 1</x:v>
      </x:c>
      <x:c r="J11" s="16" t="str">
        <x:v>Sine samples hebben juiste lengte en amplitude.</x:v>
      </x:c>
      <x:c r="K11" s="16" t="str">
        <x:v>Sample count/amplitude tests falen.</x:v>
      </x:c>
      <x:c r="L11" s="16" t="str">
        <x:v>SineOscillator class met numpy.</x:v>
      </x:c>
      <x:c r="M11" s="16" t="str">
        <x:v>US-006</x:v>
      </x:c>
      <x:c r="N11" s="18" t="str">
        <x:v>pytest dekt sample count en amplitude.</x:v>
      </x:c>
    </x:row>
    <x:row r="12" ht="15" hidden="0" customHeight="1">
      <x:c r="A12" s="15" t="str">
        <x:v>US-008</x:v>
      </x:c>
      <x:c r="B12" s="16" t="str">
        <x:v>Story</x:v>
      </x:c>
      <x:c r="C12" s="16" t="str">
        <x:v>Oscillator En Audio Rendering</x:v>
      </x:c>
      <x:c r="D12" s="16" t="str">
        <x:v>Saw Oscillator</x:v>
      </x:c>
      <x:c r="E12" s="16" t="str">
        <x:v>Done</x:v>
      </x:c>
      <x:c r="F12" s="16" t="str">
        <x:v>Should</x:v>
      </x:c>
      <x:c r="G12" s="16" t="str">
        <x:v>DSP Engineer</x:v>
      </x:c>
      <x:c r="H12" s="17" t="n">
        <x:v>3</x:v>
      </x:c>
      <x:c r="I12" s="16" t="str">
        <x:v>Sprint 1</x:v>
      </x:c>
      <x:c r="J12" s="16" t="str">
        <x:v>Saw samples hebben juiste lengte, amplitude en ramp-niveaus met traceerbare code-docstrings.</x:v>
      </x:c>
      <x:c r="K12" s="16" t="str">
        <x:v>Saw oscillator en traceability tests falen.</x:v>
      </x:c>
      <x:c r="L12" s="16" t="str">
        <x:v>Oscillator ondersteunt saw met meerdere ramp-niveaus binnen amplitude.</x:v>
      </x:c>
      <x:c r="M12" s="16" t="str">
        <x:v>US-007</x:v>
      </x:c>
      <x:c r="N12" s="18" t="str">
        <x:v>pytest groen: saw count, amplitude, ramp levels en traceability afgedekt.</x:v>
      </x:c>
    </x:row>
    <x:row r="13" ht="15" hidden="0" customHeight="1">
      <x:c r="A13" s="15" t="str">
        <x:v>US-009</x:v>
      </x:c>
      <x:c r="B13" s="16" t="str">
        <x:v>Story</x:v>
      </x:c>
      <x:c r="C13" s="16" t="str">
        <x:v>Oscillator En Audio Rendering</x:v>
      </x:c>
      <x:c r="D13" s="16" t="str">
        <x:v>Square Oscillator</x:v>
      </x:c>
      <x:c r="E13" s="16" t="str">
        <x:v>Done</x:v>
      </x:c>
      <x:c r="F13" s="16" t="str">
        <x:v>Should</x:v>
      </x:c>
      <x:c r="G13" s="16" t="str">
        <x:v>DSP Engineer</x:v>
      </x:c>
      <x:c r="H13" s="17" t="n">
        <x:v>3</x:v>
      </x:c>
      <x:c r="I13" s="16" t="str">
        <x:v>Sprint 1</x:v>
      </x:c>
      <x:c r="J13" s="16" t="str">
        <x:v>Square samples hebben juiste lengte, amplitude en discrete niveaus met traceerbare code-docstrings.</x:v>
      </x:c>
      <x:c r="K13" s="16" t="str">
        <x:v>Square oscillator en traceability tests falen.</x:v>
      </x:c>
      <x:c r="L13" s="16" t="str">
        <x:v>Oscillator ondersteunt square met discrete -amplitude/+amplitude output.</x:v>
      </x:c>
      <x:c r="M13" s="16" t="str">
        <x:v>US-007</x:v>
      </x:c>
      <x:c r="N13" s="18" t="str">
        <x:v>pytest groen: square count, amplitude, levels en traceability afgedekt.</x:v>
      </x:c>
    </x:row>
    <x:row r="14" ht="15" hidden="0" customHeight="1">
      <x:c r="A14" s="15" t="str">
        <x:v>US-010</x:v>
      </x:c>
      <x:c r="B14" s="16" t="str">
        <x:v>Story</x:v>
      </x:c>
      <x:c r="C14" s="16" t="str">
        <x:v>Oscillator En Audio Rendering</x:v>
      </x:c>
      <x:c r="D14" s="16" t="str">
        <x:v>WAV Export</x:v>
      </x:c>
      <x:c r="E14" s="16" t="str">
        <x:v>Done</x:v>
      </x:c>
      <x:c r="F14" s="16" t="str">
        <x:v>Must</x:v>
      </x:c>
      <x:c r="G14" s="16" t="str">
        <x:v>Lead Developer</x:v>
      </x:c>
      <x:c r="H14" s="17" t="n">
        <x:v>5</x:v>
      </x:c>
      <x:c r="I14" s="16" t="str">
        <x:v>Sprint 1</x:v>
      </x:c>
      <x:c r="J14" s="16" t="str">
        <x:v>Render command schrijft stereo WAV op 44100 Hz.</x:v>
      </x:c>
      <x:c r="K14" s="16" t="str">
        <x:v>WAV bestandsinspectie faalt.</x:v>
      </x:c>
      <x:c r="L14" s="16" t="str">
        <x:v>WaveWriter class met standaard wave module.</x:v>
      </x:c>
      <x:c r="M14" s="16" t="str">
        <x:v>US-007</x:v>
      </x:c>
      <x:c r="N14" s="18" t="str">
        <x:v>CLI render maakte outputs/demo.wav met 2 kanalen, 44100 Hz, 44100 frames.</x:v>
      </x:c>
    </x:row>
    <x:row r="15" ht="15" hidden="0" customHeight="1">
      <x:c r="A15" s="15" t="str">
        <x:v>US-011</x:v>
      </x:c>
      <x:c r="B15" s="16" t="str">
        <x:v>Story</x:v>
      </x:c>
      <x:c r="C15" s="16" t="str">
        <x:v>Realtime CLI Playback</x:v>
      </x:c>
      <x:c r="D15" s="16" t="str">
        <x:v>Play Single Note</x:v>
      </x:c>
      <x:c r="E15" s="16" t="str">
        <x:v>Done</x:v>
      </x:c>
      <x:c r="F15" s="16" t="str">
        <x:v>Must</x:v>
      </x:c>
      <x:c r="G15" s="16" t="str">
        <x:v>Lead Developer</x:v>
      </x:c>
      <x:c r="H15" s="17" t="n">
        <x:v>5</x:v>
      </x:c>
      <x:c r="I15" s="16" t="str">
        <x:v>Sprint 1</x:v>
      </x:c>
      <x:c r="J15" s="16" t="str">
        <x:v>play --note C3 maakt hoorbaar geluid en kan --audio-device gebruiken.</x:v>
      </x:c>
      <x:c r="K15" s="16" t="str">
        <x:v>Audio output adapter en CLI parsing tests falen.</x:v>
      </x:c>
      <x:c r="L15" s="16" t="str">
        <x:v>sounddevice adapter, audio list-devices, --audio-device en Scarlett testdocs.</x:v>
      </x:c>
      <x:c r="M15" s="16" t="str">
        <x:v>US-007</x:v>
      </x:c>
      <x:c r="N15" s="18" t="str">
        <x:v>Klanttest geslaagd: hoorbaar geluid via Scarlett 8i6 USB.</x:v>
      </x:c>
    </x:row>
    <x:row r="16" ht="15" hidden="0" customHeight="1">
      <x:c r="A16" s="15" t="str">
        <x:v>US-012</x:v>
      </x:c>
      <x:c r="B16" s="16" t="str">
        <x:v>Story</x:v>
      </x:c>
      <x:c r="C16" s="16" t="str">
        <x:v>Realtime CLI Playback</x:v>
      </x:c>
      <x:c r="D16" s="16" t="str">
        <x:v>Play Testsequence</x:v>
      </x:c>
      <x:c r="E16" s="16" t="str">
        <x:v>Done</x:v>
      </x:c>
      <x:c r="F16" s="16" t="str">
        <x:v>Must</x:v>
      </x:c>
      <x:c r="G16" s="16" t="str">
        <x:v>Lead Developer</x:v>
      </x:c>
      <x:c r="H16" s="17" t="n">
        <x:v>3</x:v>
      </x:c>
      <x:c r="I16" s="16" t="str">
        <x:v>Sprint 1</x:v>
      </x:c>
      <x:c r="J16" s="16" t="str">
        <x:v>play --testsequence ACGD speelt vier noten en ondersteunt --audio-device.</x:v>
      </x:c>
      <x:c r="K16" s="16" t="str">
        <x:v>Sequence playback test faalt.</x:v>
      </x:c>
      <x:c r="L16" s="16" t="str">
        <x:v>Playback engine voor NoteSequence plus CLI verbose eventdiagnose.</x:v>
      </x:c>
      <x:c r="M16" s="16" t="str">
        <x:v>US-005, US-011</x:v>
      </x:c>
      <x:c r="N16" s="18" t="str">
        <x:v>Klanttest geslaagd: ACGD sequence hoorbaar via Scarlett 8i6 USB.</x:v>
      </x:c>
    </x:row>
    <x:row r="17" ht="15" hidden="0" customHeight="1">
      <x:c r="A17" s="15" t="str">
        <x:v>US-013</x:v>
      </x:c>
      <x:c r="B17" s="16" t="str">
        <x:v>Story</x:v>
      </x:c>
      <x:c r="C17" s="16" t="str">
        <x:v>Realtime CLI Playback</x:v>
      </x:c>
      <x:c r="D17" s="16" t="str">
        <x:v>Channel Selection</x:v>
      </x:c>
      <x:c r="E17" s="16" t="str">
        <x:v>Done</x:v>
      </x:c>
      <x:c r="F17" s="16" t="str">
        <x:v>Must</x:v>
      </x:c>
      <x:c r="G17" s="16" t="str">
        <x:v>QA Engineer</x:v>
      </x:c>
      <x:c r="H17" s="17" t="n">
        <x:v>3</x:v>
      </x:c>
      <x:c r="I17" s="16" t="str">
        <x:v>Sprint 1</x:v>
      </x:c>
      <x:c r="J17" s="16" t="str">
        <x:v>stereo/left/right kanaalrouting werkt met traceerbare code-docstrings.</x:v>
      </x:c>
      <x:c r="K17" s="16" t="str">
        <x:v>Kanaalrouting en traceability tests falen.</x:v>
      </x:c>
      <x:c r="L17" s="16" t="str">
        <x:v>ChannelRouter, SynthEngine en CLI tests voor stereo/left/right plus code traceability.</x:v>
      </x:c>
      <x:c r="M17" s="16" t="str">
        <x:v>US-010, US-011</x:v>
      </x:c>
      <x:c r="N17" s="18" t="str">
        <x:v>Klanttest geslaagd: stereo, left en right hoorbaar via Scarlett 8i6 USB.</x:v>
      </x:c>
    </x:row>
    <x:row r="18" ht="15" hidden="0" customHeight="1">
      <x:c r="A18" s="15" t="str">
        <x:v>US-014</x:v>
      </x:c>
      <x:c r="B18" s="16" t="str">
        <x:v>Story</x:v>
      </x:c>
      <x:c r="C18" s="16" t="str">
        <x:v>Configuratie En CLI</x:v>
      </x:c>
      <x:c r="D18" s="16" t="str">
        <x:v>YAML Patch Config</x:v>
      </x:c>
      <x:c r="E18" s="16" t="str">
        <x:v>Done</x:v>
      </x:c>
      <x:c r="F18" s="16" t="str">
        <x:v>Must</x:v>
      </x:c>
      <x:c r="G18" s="16" t="str">
        <x:v>Lead Developer</x:v>
      </x:c>
      <x:c r="H18" s="17" t="n">
        <x:v>3</x:v>
      </x:c>
      <x:c r="I18" s="16" t="str">
        <x:v>Sprint 1</x:v>
      </x:c>
      <x:c r="J18" s="16" t="str">
        <x:v>Patch YAML laadt oscillator, duration, sample_rate en channel.</x:v>
      </x:c>
      <x:c r="K18" s="16" t="str">
        <x:v>Patch loader tests falen.</x:v>
      </x:c>
      <x:c r="L18" s="16" t="str">
        <x:v>PatchConfig class en loader.</x:v>
      </x:c>
      <x:c r="M18" s="16" t="str">
        <x:v>US-007</x:v>
      </x:c>
      <x:c r="N18" s="18" t="str">
        <x:v>PyYAML loader, example patch en config test toegevoegd.</x:v>
      </x:c>
    </x:row>
    <x:row r="19" ht="15" hidden="0" customHeight="1">
      <x:c r="A19" s="15" t="str">
        <x:v>US-015</x:v>
      </x:c>
      <x:c r="B19" s="16" t="str">
        <x:v>Story</x:v>
      </x:c>
      <x:c r="C19" s="16" t="str">
        <x:v>Configuratie En CLI</x:v>
      </x:c>
      <x:c r="D19" s="16" t="str">
        <x:v>Render Command</x:v>
      </x:c>
      <x:c r="E19" s="16" t="str">
        <x:v>Done</x:v>
      </x:c>
      <x:c r="F19" s="16" t="str">
        <x:v>Must</x:v>
      </x:c>
      <x:c r="G19" s="16" t="str">
        <x:v>Lead Developer</x:v>
      </x:c>
      <x:c r="H19" s="17" t="n">
        <x:v>3</x:v>
      </x:c>
      <x:c r="I19" s="16" t="str">
        <x:v>Sprint 1</x:v>
      </x:c>
      <x:c r="J19" s="16" t="str">
        <x:v>render patch.yaml --output demo.wav schrijft WAV.</x:v>
      </x:c>
      <x:c r="K19" s="16" t="str">
        <x:v>CLI render test faalt.</x:v>
      </x:c>
      <x:c r="L19" s="16" t="str">
        <x:v>argparse command en render workflow.</x:v>
      </x:c>
      <x:c r="M19" s="16" t="str">
        <x:v>US-010, US-014</x:v>
      </x:c>
      <x:c r="N19" s="18" t="str">
        <x:v>CLI render succesvol geverifieerd.</x:v>
      </x:c>
    </x:row>
    <x:row r="20" ht="15" hidden="0" customHeight="1">
      <x:c r="A20" s="15" t="str">
        <x:v>US-016</x:v>
      </x:c>
      <x:c r="B20" s="16" t="str">
        <x:v>Story</x:v>
      </x:c>
      <x:c r="C20" s="16" t="str">
        <x:v>Configuratie En CLI</x:v>
      </x:c>
      <x:c r="D20" s="16" t="str">
        <x:v>Debuglevel</x:v>
      </x:c>
      <x:c r="E20" s="16" t="str">
        <x:v>Done</x:v>
      </x:c>
      <x:c r="F20" s="16" t="str">
        <x:v>Should</x:v>
      </x:c>
      <x:c r="G20" s="16" t="str">
        <x:v>QA Engineer</x:v>
      </x:c>
      <x:c r="H20" s="17" t="n">
        <x:v>2</x:v>
      </x:c>
      <x:c r="I20" s="16" t="str">
        <x:v>Sprint 1</x:v>
      </x:c>
      <x:c r="J20" s="16" t="str">
        <x:v>none/light/verbose tonen juiste hoeveelheid output met traceerbare code-docstrings.</x:v>
      </x:c>
      <x:c r="K20" s="16" t="str">
        <x:v>DebugReporter, CLI output en traceability tests falen.</x:v>
      </x:c>
      <x:c r="L20" s="16" t="str">
        <x:v>DebugLevel, DebugReporter en CLI output tests voor none/light/verbose.</x:v>
      </x:c>
      <x:c r="M20" s="16" t="str">
        <x:v>US-011, US-015</x:v>
      </x:c>
      <x:c r="N20" s="18" t="str">
        <x:v>pytest groen: none onderdrukt status, light toont hoofdacties, verbose toont technische details.</x:v>
      </x:c>
    </x:row>
    <x:row r="21" ht="15" hidden="0" customHeight="1">
      <x:c r="A21" s="15" t="str">
        <x:v>US-017</x:v>
      </x:c>
      <x:c r="B21" s="16" t="str">
        <x:v>Story</x:v>
      </x:c>
      <x:c r="C21" s="16" t="str">
        <x:v>Documentatie En Governance</x:v>
      </x:c>
      <x:c r="D21" s="16" t="str">
        <x:v>README Startinstructies</x:v>
      </x:c>
      <x:c r="E21" s="16" t="str">
        <x:v>Done</x:v>
      </x:c>
      <x:c r="F21" s="16" t="str">
        <x:v>Must</x:v>
      </x:c>
      <x:c r="G21" s="16" t="str">
        <x:v>Technical Writer</x:v>
      </x:c>
      <x:c r="H21" s="17" t="n">
        <x:v>2</x:v>
      </x:c>
      <x:c r="I21" s="16" t="str">
        <x:v>Sprint 1</x:v>
      </x:c>
      <x:c r="J21" s="16" t="str">
        <x:v>README beschrijft setup, test, play, render en debug.</x:v>
      </x:c>
      <x:c r="K21" s="16" t="str">
        <x:v>Docs review checklist faalt.</x:v>
      </x:c>
      <x:c r="L21" s="16" t="str">
        <x:v>README update na skeleton.</x:v>
      </x:c>
      <x:c r="M21" s="16" t="str">
        <x:v>US-001</x:v>
      </x:c>
      <x:c r="N21" s="18" t="str">
        <x:v>README bijgewerkt met venv, CLI, tests en VS Code.</x:v>
      </x:c>
    </x:row>
    <x:row r="22" ht="15" hidden="0" customHeight="1">
      <x:c r="A22" s="19" t="str">
        <x:v>US-018</x:v>
      </x:c>
      <x:c r="B22" s="20" t="str">
        <x:v>Story</x:v>
      </x:c>
      <x:c r="C22" s="20" t="str">
        <x:v>Documentatie En Governance</x:v>
      </x:c>
      <x:c r="D22" s="20" t="str">
        <x:v>Agile Artefacts</x:v>
      </x:c>
      <x:c r="E22" s="20" t="str">
        <x:v>Done</x:v>
      </x:c>
      <x:c r="F22" s="20" t="str">
        <x:v>Must</x:v>
      </x:c>
      <x:c r="G22" s="20" t="str">
        <x:v>Product Owner</x:v>
      </x:c>
      <x:c r="H22" s="21" t="n">
        <x:v>2</x:v>
      </x:c>
      <x:c r="I22" s="20" t="str">
        <x:v>Sprint 0</x:v>
      </x:c>
      <x:c r="J22" s="20" t="str">
        <x:v>Scope, stories, criteria en Kanban workbook bestaan.</x:v>
      </x:c>
      <x:c r="K22" s="20" t="str">
        <x:v>Artefact checklist faalt.</x:v>
      </x:c>
      <x:c r="L22" s="20" t="str">
        <x:v>Markdown docs en Excel Kanban genereren.</x:v>
      </x:c>
      <x:c r="M22" s="20" t="str">
        <x:v>None</x:v>
      </x:c>
      <x:c r="N22" s="22" t="str">
        <x:v>Artefacts en workbook bijgewerkt.</x:v>
      </x:c>
    </x:row>
  </x:sheetData>
  <x:mergeCells>
    <x:mergeCell ref="A1:N1"/>
    <x:mergeCell ref="A2:N2"/>
  </x:mergeCells>
  <x:dataValidations count="3">
    <x:dataValidation type="list" sqref="E5:E100">
      <x:formula1>"To Do,In Progress,In Review,Done,Blocked"</x:formula1>
    </x:dataValidation>
    <x:dataValidation type="list" sqref="F5:F100">
      <x:formula1>"Must,Should,Could,Won't"</x:formula1>
    </x:dataValidation>
    <x:dataValidation type="list" sqref="G5:G100">
      <x:formula1>"Product Owner,Lead Developer,DSP Engineer,QA Engineer,Release Engineer,Technical Writer"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084831e8844cb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28" hidden="0" customWidth="1"/>
    <x:col min="4" max="4" width="34" hidden="0" customWidth="1"/>
    <x:col min="5" max="5" width="14" hidden="0" customWidth="1"/>
    <x:col min="6" max="6" width="12" hidden="0" customWidth="1"/>
    <x:col min="7" max="7" width="18" hidden="0" customWidth="1"/>
    <x:col min="8" max="8" width="12" hidden="0" customWidth="1"/>
    <x:col min="9" max="9" width="12" hidden="0" customWidth="1"/>
    <x:col min="10" max="10" width="36" hidden="0" customWidth="1"/>
    <x:col min="11" max="11" width="36" hidden="0" customWidth="1"/>
    <x:col min="12" max="12" width="36" hidden="0" customWidth="1"/>
    <x:col min="13" max="13" width="36" hidden="0" customWidth="1"/>
    <x:col min="14" max="14" width="36" hidden="0" customWidth="1"/>
  </x:cols>
  <x:sheetData>
    <x:row r="1">
      <x:c r="A1" s="25" t="str">
        <x:v>python-d1-synth Future MIDI/DAW Backlog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</x:row>
    <x:row r="2">
      <x:c r="A2" s="28" t="str">
        <x:v>Scope mutation: Logic Pro 12.3, other DAWs, USB MIDI, external MIDI, RaspiMidiHub, physical MIDI hub, MiniFreak, Arturia KeyLab Mk3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</x:row>
    <x:row r="4" ht="15" hidden="0" customHeight="1">
      <x:c r="A4" s="32" t="str">
        <x:v>ID</x:v>
      </x:c>
      <x:c r="B4" s="33" t="str">
        <x:v>Type</x:v>
      </x:c>
      <x:c r="C4" s="33" t="str">
        <x:v>Epic</x:v>
      </x:c>
      <x:c r="D4" s="33" t="str">
        <x:v>Title</x:v>
      </x:c>
      <x:c r="E4" s="33" t="str">
        <x:v>Status</x:v>
      </x:c>
      <x:c r="F4" s="33" t="str">
        <x:v>Priority</x:v>
      </x:c>
      <x:c r="G4" s="33" t="str">
        <x:v>Owner</x:v>
      </x:c>
      <x:c r="H4" s="33" t="str">
        <x:v>Story Points</x:v>
      </x:c>
      <x:c r="I4" s="33" t="str">
        <x:v>Sprint</x:v>
      </x:c>
      <x:c r="J4" s="33" t="str">
        <x:v>Acceptance Criteria Summary</x:v>
      </x:c>
      <x:c r="K4" s="33" t="str">
        <x:v>Red Phase Test</x:v>
      </x:c>
      <x:c r="L4" s="33" t="str">
        <x:v>Green Phase Work</x:v>
      </x:c>
      <x:c r="M4" s="33" t="str">
        <x:v>Dependencies</x:v>
      </x:c>
      <x:c r="N4" s="34" t="str">
        <x:v>Notes</x:v>
      </x:c>
    </x:row>
    <x:row r="5" ht="15" hidden="0" customHeight="1">
      <x:c r="A5" s="35" t="str">
        <x:v>US-019</x:v>
      </x:c>
      <x:c r="B5" s="36" t="str">
        <x:v>Story</x:v>
      </x:c>
      <x:c r="C5" s="36" t="str">
        <x:v>Future MIDI En DAW Integratie</x:v>
      </x:c>
      <x:c r="D5" s="36" t="str">
        <x:v>MIDI Leerpad En Terminologie</x:v>
      </x:c>
      <x:c r="E5" s="36" t="str">
        <x:v>Done</x:v>
      </x:c>
      <x:c r="F5" s="36" t="str">
        <x:v>Must</x:v>
      </x:c>
      <x:c r="G5" s="36" t="str">
        <x:v>Product Owner</x:v>
      </x:c>
      <x:c r="H5" s="37" t="n">
        <x:v>2</x:v>
      </x:c>
      <x:c r="I5" s="36" t="str">
        <x:v>Future</x:v>
      </x:c>
      <x:c r="J5" s="36" t="str">
        <x:v>Klant begrijpt note on/off, note number, channel, velocity, MIDI clock en pitch bend.</x:v>
      </x:c>
      <x:c r="K5" s="36" t="str">
        <x:v>Docs ontbreken voor MIDI basisbegrippen.</x:v>
      </x:c>
      <x:c r="L5" s="36" t="str">
        <x:v>MIDI concept guide en glossary met NoteEvent mapping.</x:v>
      </x:c>
      <x:c r="M5" s="36" t="str">
        <x:v>US-006</x:v>
      </x:c>
      <x:c r="N5" s="38" t="str">
        <x:v>docs/midi_learning_path_v0.1.0.md en pytest docs-check groen.</x:v>
      </x:c>
    </x:row>
    <x:row r="6" ht="15" hidden="0" customHeight="1">
      <x:c r="A6" s="35" t="str">
        <x:v>US-020</x:v>
      </x:c>
      <x:c r="B6" s="36" t="str">
        <x:v>Story</x:v>
      </x:c>
      <x:c r="C6" s="36" t="str">
        <x:v>Future MIDI En DAW Integratie</x:v>
      </x:c>
      <x:c r="D6" s="36" t="str">
        <x:v>Virtual MIDI Input Voor DAW</x:v>
      </x:c>
      <x:c r="E6" s="36" t="str">
        <x:v>To Do</x:v>
      </x:c>
      <x:c r="F6" s="36" t="str">
        <x:v>Must</x:v>
      </x:c>
      <x:c r="G6" s="36" t="str">
        <x:v>Lead Developer</x:v>
      </x:c>
      <x:c r="H6" s="37" t="n">
        <x:v>5</x:v>
      </x:c>
      <x:c r="I6" s="36" t="str">
        <x:v>Future</x:v>
      </x:c>
      <x:c r="J6" s="36" t="str">
        <x:v>Logic Pro 12.3 of andere DAW kan note events naar de synth sturen.</x:v>
      </x:c>
      <x:c r="K6" s="36" t="str">
        <x:v>Virtual MIDI route test faalt.</x:v>
      </x:c>
      <x:c r="L6" s="36" t="str">
        <x:v>Virtual MIDI input adapter en event bridge.</x:v>
      </x:c>
      <x:c r="M6" s="36" t="str">
        <x:v>US-006, US-019</x:v>
      </x:c>
      <x:c r="N6" s="38" t="str">
        <x:v>Software route naast latere pluginroute.</x:v>
      </x:c>
    </x:row>
    <x:row r="7" ht="15" hidden="0" customHeight="1">
      <x:c r="A7" s="35" t="str">
        <x:v>US-021</x:v>
      </x:c>
      <x:c r="B7" s="36" t="str">
        <x:v>Story</x:v>
      </x:c>
      <x:c r="C7" s="36" t="str">
        <x:v>Future MIDI En DAW Integratie</x:v>
      </x:c>
      <x:c r="D7" s="36" t="str">
        <x:v>External MIDI Workflow In Logic</x:v>
      </x:c>
      <x:c r="E7" s="36" t="str">
        <x:v>To Do</x:v>
      </x:c>
      <x:c r="F7" s="36" t="str">
        <x:v>Should</x:v>
      </x:c>
      <x:c r="G7" s="36" t="str">
        <x:v>Release Engineer</x:v>
      </x:c>
      <x:c r="H7" s="37" t="n">
        <x:v>3</x:v>
      </x:c>
      <x:c r="I7" s="36" t="str">
        <x:v>Future</x:v>
      </x:c>
      <x:c r="J7" s="36" t="str">
        <x:v>External MIDI workflow in Logic is reproduceerbaar beschreven.</x:v>
      </x:c>
      <x:c r="K7" s="36" t="str">
        <x:v>Logic external MIDI setup test faalt of ontbreekt.</x:v>
      </x:c>
      <x:c r="L7" s="36" t="str">
        <x:v>Setup guide en handmatige DAW test.</x:v>
      </x:c>
      <x:c r="M7" s="36" t="str">
        <x:v>US-020</x:v>
      </x:c>
      <x:c r="N7" s="38" t="str">
        <x:v>Logic Pro 12.3 is primaire DAW, maar ontwerp blijft DAW-breed.</x:v>
      </x:c>
    </x:row>
    <x:row r="8" ht="15" hidden="0" customHeight="1">
      <x:c r="A8" s="35" t="str">
        <x:v>US-022</x:v>
      </x:c>
      <x:c r="B8" s="36" t="str">
        <x:v>Story</x:v>
      </x:c>
      <x:c r="C8" s="36" t="str">
        <x:v>Future MIDI En DAW Integratie</x:v>
      </x:c>
      <x:c r="D8" s="36" t="str">
        <x:v>USB MIDI Hardware Input</x:v>
      </x:c>
      <x:c r="E8" s="36" t="str">
        <x:v>To Do</x:v>
      </x:c>
      <x:c r="F8" s="36" t="str">
        <x:v>Must</x:v>
      </x:c>
      <x:c r="G8" s="36" t="str">
        <x:v>Lead Developer</x:v>
      </x:c>
      <x:c r="H8" s="37" t="n">
        <x:v>5</x:v>
      </x:c>
      <x:c r="I8" s="36" t="str">
        <x:v>Future</x:v>
      </x:c>
      <x:c r="J8" s="36" t="str">
        <x:v>Arturia KeyLab Mk3 kan note on/off en velocity aanleveren.</x:v>
      </x:c>
      <x:c r="K8" s="36" t="str">
        <x:v>USB MIDI device detectie test faalt.</x:v>
      </x:c>
      <x:c r="L8" s="36" t="str">
        <x:v>USB MIDI input adapter en hardware smoke test.</x:v>
      </x:c>
      <x:c r="M8" s="36" t="str">
        <x:v>US-019, US-024</x:v>
      </x:c>
      <x:c r="N8" s="38" t="str">
        <x:v>Eerste fysieke controller.</x:v>
      </x:c>
    </x:row>
    <x:row r="9" ht="15" hidden="0" customHeight="1">
      <x:c r="A9" s="35" t="str">
        <x:v>US-023</x:v>
      </x:c>
      <x:c r="B9" s="36" t="str">
        <x:v>Story</x:v>
      </x:c>
      <x:c r="C9" s="36" t="str">
        <x:v>Future MIDI En DAW Integratie</x:v>
      </x:c>
      <x:c r="D9" s="36" t="str">
        <x:v>Studio MIDI Routing Integratietest</x:v>
      </x:c>
      <x:c r="E9" s="36" t="str">
        <x:v>To Do</x:v>
      </x:c>
      <x:c r="F9" s="36" t="str">
        <x:v>Should</x:v>
      </x:c>
      <x:c r="G9" s="36" t="str">
        <x:v>QA Engineer</x:v>
      </x:c>
      <x:c r="H9" s="37" t="n">
        <x:v>3</x:v>
      </x:c>
      <x:c r="I9" s="36" t="str">
        <x:v>Future</x:v>
      </x:c>
      <x:c r="J9" s="36" t="str">
        <x:v>Testmatrix dekt RaspiMidiHub, fysieke MIDI hub, MiniFreak en KeyLab Mk3.</x:v>
      </x:c>
      <x:c r="K9" s="36" t="str">
        <x:v>Integratietestplan ontbreekt.</x:v>
      </x:c>
      <x:c r="L9" s="36" t="str">
        <x:v>Routing testmatrix en testnotities.</x:v>
      </x:c>
      <x:c r="M9" s="36" t="str">
        <x:v>US-022</x:v>
      </x:c>
      <x:c r="N9" s="38" t="str">
        <x:v>Studio-opstelling expliciet documenteren.</x:v>
      </x:c>
    </x:row>
    <x:row r="10" ht="15" hidden="0" customHeight="1">
      <x:c r="A10" s="35" t="str">
        <x:v>US-024</x:v>
      </x:c>
      <x:c r="B10" s="36" t="str">
        <x:v>Story</x:v>
      </x:c>
      <x:c r="C10" s="36" t="str">
        <x:v>Future MIDI En DAW Integratie</x:v>
      </x:c>
      <x:c r="D10" s="36" t="str">
        <x:v>MIDI Naar NoteEvent Mapping</x:v>
      </x:c>
      <x:c r="E10" s="36" t="str">
        <x:v>To Do</x:v>
      </x:c>
      <x:c r="F10" s="36" t="str">
        <x:v>Must</x:v>
      </x:c>
      <x:c r="G10" s="36" t="str">
        <x:v>DSP Engineer</x:v>
      </x:c>
      <x:c r="H10" s="37" t="n">
        <x:v>5</x:v>
      </x:c>
      <x:c r="I10" s="36" t="str">
        <x:v>Future</x:v>
      </x:c>
      <x:c r="J10" s="36" t="str">
        <x:v>MIDI note on/off wordt correct naar NoteEvent gemapt.</x:v>
      </x:c>
      <x:c r="K10" s="36" t="str">
        <x:v>Mapper tests falen voor note number, channel en velocity.</x:v>
      </x:c>
      <x:c r="L10" s="36" t="str">
        <x:v>MidiToNoteEventMapper class.</x:v>
      </x:c>
      <x:c r="M10" s="36" t="str">
        <x:v>US-006, US-019</x:v>
      </x:c>
      <x:c r="N10" s="38" t="str">
        <x:v>Houdt Sprint 1 engine herbruikbaar.</x:v>
      </x:c>
    </x:row>
    <x:row r="11" ht="15" hidden="0" customHeight="1">
      <x:c r="A11" s="39" t="str">
        <x:v>US-025</x:v>
      </x:c>
      <x:c r="B11" s="40" t="str">
        <x:v>Story</x:v>
      </x:c>
      <x:c r="C11" s="40" t="str">
        <x:v>Future MIDI En DAW Integratie</x:v>
      </x:c>
      <x:c r="D11" s="40" t="str">
        <x:v>MIDI Device Discovery En Default Selection</x:v>
      </x:c>
      <x:c r="E11" s="40" t="str">
        <x:v>In Review</x:v>
      </x:c>
      <x:c r="F11" s="40" t="str">
        <x:v>Must</x:v>
      </x:c>
      <x:c r="G11" s="40" t="str">
        <x:v>Lead Developer</x:v>
      </x:c>
      <x:c r="H11" s="41" t="n">
        <x:v>3</x:v>
      </x:c>
      <x:c r="I11" s="40" t="str">
        <x:v>Future</x:v>
      </x:c>
      <x:c r="J11" s="40" t="str">
        <x:v>CLI scant MIDI devices veilig en kiest device via CLI of YAML default.</x:v>
      </x:c>
      <x:c r="K11" s="40" t="str">
        <x:v>Device discovery en config precedence tests falen.</x:v>
      </x:c>
      <x:c r="L11" s="40" t="str">
        <x:v>MidiDeviceScanner met veilige macOS default en optionele --unsafe-rtmidi-scan.</x:v>
      </x:c>
      <x:c r="M11" s="40" t="str">
        <x:v>US-019, US-020, US-022</x:v>
      </x:c>
      <x:c r="N11" s="42" t="str">
        <x:v>RtMidi/CoreMIDI crashrapporten voorkomen door native scan standaard uit te schakelen.</x:v>
      </x:c>
    </x:row>
  </x:sheetData>
  <x:mergeCells>
    <x:mergeCell ref="A1:N1"/>
    <x:mergeCell ref="A2:N2"/>
  </x:mergeCells>
  <x:dataValidations count="3">
    <x:dataValidation type="list" sqref="E5:E100">
      <x:formula1>"To Do,In Progress,In Review,Done,Blocked"</x:formula1>
    </x:dataValidation>
    <x:dataValidation type="list" sqref="F5:F100">
      <x:formula1>"Must,Should,Could,Won't"</x:formula1>
    </x:dataValidation>
    <x:dataValidation type="list" sqref="G5:G100">
      <x:formula1>"Product Owner,Lead Developer,DSP Engineer,QA Engineer,Release Engineer,Technical Writer"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86ede1be3848d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.88999938964844" hidden="0" customWidth="1"/>
    <x:col min="2" max="2" width="11.109999656677246" hidden="0" customWidth="1"/>
    <x:col min="4" max="4" width="8.779999732971191" hidden="0" customWidth="1"/>
    <x:col min="5" max="5" width="4.889999866485596" hidden="0" customWidth="1"/>
    <x:col min="6" max="6" width="9.4399995803833" hidden="0" customWidth="1"/>
  </x:cols>
  <x:sheetData>
    <x:row r="1">
      <x:c r="A1" s="3" t="str">
        <x:v>python-d1-synth Sprint 1 Summary</x:v>
      </x:c>
      <x:c r="B1" s="3"/>
      <x:c r="C1" s="3"/>
      <x:c r="D1" s="3"/>
      <x:c r="E1" s="3"/>
      <x:c r="F1" s="3"/>
    </x:row>
    <x:row r="3">
      <x:c r="A3" s="43" t="str">
        <x:v>Metric</x:v>
      </x:c>
      <x:c r="B3" s="43" t="str">
        <x:v>Value</x:v>
      </x:c>
      <x:c r="D3" s="43" t="str">
        <x:v>Status</x:v>
      </x:c>
      <x:c r="E3" s="43" t="str">
        <x:v>Count</x:v>
      </x:c>
      <x:c r="F3" s="43" t="str">
        <x:v>Story Points</x:v>
      </x:c>
    </x:row>
    <x:row r="4">
      <x:c r="A4" s="44" t="str">
        <x:v>Total Stories</x:v>
      </x:c>
      <x:c r="B4" s="44" t="n">
        <x:f>COUNTA('Sprint 1 Board'!A5:A22)</x:f>
        <x:v>18</x:v>
      </x:c>
      <x:c r="D4" s="44" t="str">
        <x:v>To Do</x:v>
      </x:c>
      <x:c r="E4" s="44" t="n">
        <x:f>COUNTIF('Sprint 1 Board'!E5:E22,D4)</x:f>
        <x:v>0</x:v>
      </x:c>
      <x:c r="F4" s="44" t="n">
        <x:f>SUMIF('Sprint 1 Board'!E5:E22,D4,'Sprint 1 Board'!H5:H22)</x:f>
        <x:v>0</x:v>
      </x:c>
    </x:row>
    <x:row r="5">
      <x:c r="A5" s="44" t="str">
        <x:v>Must Stories</x:v>
      </x:c>
      <x:c r="B5" s="44" t="n">
        <x:f>COUNTIF('Sprint 1 Board'!F5:F22,"Must")</x:f>
        <x:v>15</x:v>
      </x:c>
      <x:c r="D5" s="44" t="str">
        <x:v>In Progress</x:v>
      </x:c>
      <x:c r="E5" s="44" t="n">
        <x:f>COUNTIF('Sprint 1 Board'!E5:E22,D5)</x:f>
        <x:v>0</x:v>
      </x:c>
      <x:c r="F5" s="44" t="n">
        <x:f>SUMIF('Sprint 1 Board'!E5:E22,D5,'Sprint 1 Board'!H5:H22)</x:f>
        <x:v>0</x:v>
      </x:c>
    </x:row>
    <x:row r="6">
      <x:c r="A6" s="44" t="str">
        <x:v>Should Stories</x:v>
      </x:c>
      <x:c r="B6" s="44" t="n">
        <x:f>COUNTIF('Sprint 1 Board'!F5:F22,"Should")</x:f>
        <x:v>3</x:v>
      </x:c>
      <x:c r="D6" s="44" t="str">
        <x:v>In Review</x:v>
      </x:c>
      <x:c r="E6" s="44" t="n">
        <x:f>COUNTIF('Sprint 1 Board'!E5:E22,D6)</x:f>
        <x:v>0</x:v>
      </x:c>
      <x:c r="F6" s="44" t="n">
        <x:f>SUMIF('Sprint 1 Board'!E5:E22,D6,'Sprint 1 Board'!H5:H22)</x:f>
        <x:v>0</x:v>
      </x:c>
    </x:row>
    <x:row r="7">
      <x:c r="A7" s="44" t="str">
        <x:v>Total Story Points</x:v>
      </x:c>
      <x:c r="B7" s="44" t="n">
        <x:f>SUM('Sprint 1 Board'!H5:H22)</x:f>
        <x:v>55</x:v>
      </x:c>
      <x:c r="D7" s="44" t="str">
        <x:v>Done</x:v>
      </x:c>
      <x:c r="E7" s="44" t="n">
        <x:f>COUNTIF('Sprint 1 Board'!E5:E22,D7)</x:f>
        <x:v>18</x:v>
      </x:c>
      <x:c r="F7" s="44" t="n">
        <x:f>SUMIF('Sprint 1 Board'!E5:E22,D7,'Sprint 1 Board'!H5:H22)</x:f>
        <x:v>55</x:v>
      </x:c>
    </x:row>
    <x:row r="8">
      <x:c r="A8" s="44" t="str">
        <x:v>In Review</x:v>
      </x:c>
      <x:c r="B8" s="44" t="n">
        <x:f>COUNTIF('Sprint 1 Board'!E5:E22,"In Review")</x:f>
        <x:v>0</x:v>
      </x:c>
      <x:c r="D8" s="44" t="str">
        <x:v>Blocked</x:v>
      </x:c>
      <x:c r="E8" s="44" t="n">
        <x:f>COUNTIF('Sprint 1 Board'!E5:E22,D8)</x:f>
        <x:v>0</x:v>
      </x:c>
      <x:c r="F8" s="44" t="n">
        <x:f>SUMIF('Sprint 1 Board'!E5:E22,D8,'Sprint 1 Board'!H5:H22)</x:f>
        <x:v>0</x:v>
      </x:c>
    </x:row>
    <x:row r="9">
      <x:c r="A9" s="44" t="str">
        <x:v>Future MIDI/DAW Stories</x:v>
      </x:c>
      <x:c r="B9" s="44" t="n">
        <x:f>COUNTA('Future MIDI DAW'!A5:A11)</x:f>
        <x:v>7</x:v>
      </x:c>
    </x:row>
    <x:row r="10">
      <x:c r="A10" s="44" t="str">
        <x:v>Future MIDI/DAW Points</x:v>
      </x:c>
      <x:c r="B10" s="44" t="n">
        <x:f>SUM('Future MIDI DAW'!H5:H11)</x:f>
        <x:v>26</x:v>
      </x:c>
    </x:row>
    <x:row r="11">
      <x:c r="A11" s="44" t="str">
        <x:v>Primary DAW</x:v>
      </x:c>
      <x:c r="B11" s="44" t="str">
        <x:v>Logic Pro 12.3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89999389648438" hidden="0" customWidth="1"/>
    <x:col min="2" max="2" width="5.670000076293945" hidden="0" customWidth="1"/>
    <x:col min="3" max="3" width="13.109999656677246" hidden="0" customWidth="1"/>
    <x:col min="4" max="4" width="8.670000076293945" hidden="0" customWidth="1"/>
  </x:cols>
  <x:sheetData>
    <x:row r="1">
      <x:c r="A1" s="3" t="str">
        <x:v>Reference Lists</x:v>
      </x:c>
      <x:c r="B1" s="3"/>
      <x:c r="C1" s="3"/>
      <x:c r="D1" s="3"/>
    </x:row>
    <x:row r="3">
      <x:c r="A3" s="43" t="str">
        <x:v>Status</x:v>
      </x:c>
      <x:c r="B3" s="43" t="str">
        <x:v>Priority</x:v>
      </x:c>
      <x:c r="C3" s="43" t="str">
        <x:v>Owner</x:v>
      </x:c>
      <x:c r="D3" s="43" t="str">
        <x:v>Debuglevel</x:v>
      </x:c>
    </x:row>
    <x:row r="4">
      <x:c r="A4" s="44" t="str">
        <x:v>To Do</x:v>
      </x:c>
      <x:c r="B4" s="44" t="str">
        <x:v>Must</x:v>
      </x:c>
      <x:c r="C4" s="44" t="str">
        <x:v>Product Owner</x:v>
      </x:c>
      <x:c r="D4" s="44" t="str">
        <x:v>none</x:v>
      </x:c>
    </x:row>
    <x:row r="5">
      <x:c r="A5" s="44" t="str">
        <x:v>In Progress</x:v>
      </x:c>
      <x:c r="B5" s="44" t="str">
        <x:v>Should</x:v>
      </x:c>
      <x:c r="C5" s="44" t="str">
        <x:v>Lead Developer</x:v>
      </x:c>
      <x:c r="D5" s="44" t="str">
        <x:v>light</x:v>
      </x:c>
    </x:row>
    <x:row r="6">
      <x:c r="A6" s="44" t="str">
        <x:v>In Review</x:v>
      </x:c>
      <x:c r="B6" s="44" t="str">
        <x:v>Could</x:v>
      </x:c>
      <x:c r="C6" s="44" t="str">
        <x:v>DSP Engineer</x:v>
      </x:c>
      <x:c r="D6" s="44" t="str">
        <x:v>verbose</x:v>
      </x:c>
    </x:row>
    <x:row r="7">
      <x:c r="A7" s="44" t="str">
        <x:v>Done</x:v>
      </x:c>
      <x:c r="B7" s="44" t="str">
        <x:v>Won't</x:v>
      </x:c>
      <x:c r="C7" s="44" t="str">
        <x:v>QA Engineer</x:v>
      </x:c>
      <x:c r="D7" s="44"/>
    </x:row>
    <x:row r="8">
      <x:c r="A8" s="44" t="str">
        <x:v>Blocked</x:v>
      </x:c>
      <x:c r="B8" s="44"/>
      <x:c r="C8" s="44" t="str">
        <x:v>Release Engineer</x:v>
      </x:c>
      <x:c r="D8" s="44"/>
    </x:row>
    <x:row r="9">
      <x:c r="A9" s="44"/>
      <x:c r="B9" s="44"/>
      <x:c r="C9" s="44" t="str">
        <x:v>Technical Writer</x:v>
      </x:c>
      <x:c r="D9" s="44"/>
    </x:row>
  </x:sheetData>
  <x:mergeCells>
    <x:mergeCell ref="A1:D1"/>
  </x:mergeCells>
  <x:pageMargins left="0.7" right="0.7" top="0.75" bottom="0.75" header="0.3" footer="0.3"/>
</x:worksheet>
</file>